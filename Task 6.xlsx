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hanyamanam/Desktop/Internshala/Introduction to excel/Data Management and Analysis with MS Excel Project /"/>
    </mc:Choice>
  </mc:AlternateContent>
  <xr:revisionPtr revIDLastSave="0" documentId="13_ncr:1_{F75935CD-0D3F-E846-9FFF-7A0A59CB4AA0}" xr6:coauthVersionLast="47" xr6:coauthVersionMax="47" xr10:uidLastSave="{00000000-0000-0000-0000-000000000000}"/>
  <bookViews>
    <workbookView xWindow="6440" yWindow="680" windowWidth="22260" windowHeight="17040" xr2:uid="{2EF74AAD-A9F8-4849-AED0-26BF125F5C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0" i="1" l="1"/>
  <c r="K35" i="1"/>
  <c r="E7" i="1"/>
  <c r="E15" i="1"/>
  <c r="E23" i="1"/>
  <c r="E31" i="1"/>
  <c r="E39" i="1"/>
  <c r="E47" i="1"/>
  <c r="E55" i="1"/>
  <c r="E63" i="1"/>
  <c r="E70" i="1"/>
  <c r="E71" i="1"/>
  <c r="E78" i="1"/>
  <c r="E79" i="1"/>
  <c r="E87" i="1"/>
  <c r="E94" i="1"/>
  <c r="E95" i="1"/>
  <c r="E102" i="1"/>
  <c r="E103" i="1"/>
  <c r="E110" i="1"/>
  <c r="E111" i="1"/>
  <c r="E118" i="1"/>
  <c r="E119" i="1"/>
  <c r="E126" i="1"/>
  <c r="E127" i="1"/>
  <c r="E134" i="1"/>
  <c r="E135" i="1"/>
  <c r="E142" i="1"/>
  <c r="E143" i="1"/>
  <c r="E150" i="1"/>
  <c r="E151" i="1"/>
  <c r="E158" i="1"/>
  <c r="E159" i="1"/>
  <c r="E166" i="1"/>
  <c r="E167" i="1"/>
  <c r="E174" i="1"/>
  <c r="E175" i="1"/>
  <c r="E182" i="1"/>
  <c r="E183" i="1"/>
  <c r="E190" i="1"/>
  <c r="E191" i="1"/>
  <c r="E198" i="1"/>
  <c r="E199" i="1"/>
  <c r="E201" i="1"/>
  <c r="F3" i="1"/>
  <c r="E3" i="1" s="1"/>
  <c r="F4" i="1"/>
  <c r="F5" i="1"/>
  <c r="F6" i="1"/>
  <c r="F7" i="1"/>
  <c r="F8" i="1"/>
  <c r="E8" i="1" s="1"/>
  <c r="F9" i="1"/>
  <c r="F10" i="1"/>
  <c r="E10" i="1" s="1"/>
  <c r="F11" i="1"/>
  <c r="E11" i="1" s="1"/>
  <c r="F12" i="1"/>
  <c r="E12" i="1" s="1"/>
  <c r="F13" i="1"/>
  <c r="E13" i="1" s="1"/>
  <c r="F14" i="1"/>
  <c r="F15" i="1"/>
  <c r="E14" i="1" s="1"/>
  <c r="F16" i="1"/>
  <c r="E16" i="1" s="1"/>
  <c r="F17" i="1"/>
  <c r="F18" i="1"/>
  <c r="E18" i="1" s="1"/>
  <c r="F19" i="1"/>
  <c r="E19" i="1" s="1"/>
  <c r="F20" i="1"/>
  <c r="E20" i="1" s="1"/>
  <c r="F21" i="1"/>
  <c r="E21" i="1" s="1"/>
  <c r="F22" i="1"/>
  <c r="F23" i="1"/>
  <c r="E22" i="1" s="1"/>
  <c r="F24" i="1"/>
  <c r="E24" i="1" s="1"/>
  <c r="F25" i="1"/>
  <c r="F26" i="1"/>
  <c r="E26" i="1" s="1"/>
  <c r="F27" i="1"/>
  <c r="E27" i="1" s="1"/>
  <c r="F28" i="1"/>
  <c r="E28" i="1" s="1"/>
  <c r="F29" i="1"/>
  <c r="E29" i="1" s="1"/>
  <c r="F30" i="1"/>
  <c r="F31" i="1"/>
  <c r="E30" i="1" s="1"/>
  <c r="F32" i="1"/>
  <c r="E32" i="1" s="1"/>
  <c r="F33" i="1"/>
  <c r="F34" i="1"/>
  <c r="E34" i="1" s="1"/>
  <c r="F35" i="1"/>
  <c r="E35" i="1" s="1"/>
  <c r="F36" i="1"/>
  <c r="E36" i="1" s="1"/>
  <c r="F37" i="1"/>
  <c r="E37" i="1" s="1"/>
  <c r="F38" i="1"/>
  <c r="F39" i="1"/>
  <c r="E38" i="1" s="1"/>
  <c r="F40" i="1"/>
  <c r="E40" i="1" s="1"/>
  <c r="F41" i="1"/>
  <c r="F42" i="1"/>
  <c r="E42" i="1" s="1"/>
  <c r="F43" i="1"/>
  <c r="E43" i="1" s="1"/>
  <c r="F44" i="1"/>
  <c r="E44" i="1" s="1"/>
  <c r="F45" i="1"/>
  <c r="E45" i="1" s="1"/>
  <c r="F46" i="1"/>
  <c r="F47" i="1"/>
  <c r="E46" i="1" s="1"/>
  <c r="F48" i="1"/>
  <c r="E48" i="1" s="1"/>
  <c r="F49" i="1"/>
  <c r="F50" i="1"/>
  <c r="E50" i="1" s="1"/>
  <c r="F51" i="1"/>
  <c r="E51" i="1" s="1"/>
  <c r="F52" i="1"/>
  <c r="E52" i="1" s="1"/>
  <c r="F53" i="1"/>
  <c r="E53" i="1" s="1"/>
  <c r="F54" i="1"/>
  <c r="F55" i="1"/>
  <c r="E54" i="1" s="1"/>
  <c r="F56" i="1"/>
  <c r="E56" i="1" s="1"/>
  <c r="F57" i="1"/>
  <c r="F58" i="1"/>
  <c r="E58" i="1" s="1"/>
  <c r="F59" i="1"/>
  <c r="E59" i="1" s="1"/>
  <c r="F60" i="1"/>
  <c r="E60" i="1" s="1"/>
  <c r="F61" i="1"/>
  <c r="E61" i="1" s="1"/>
  <c r="F62" i="1"/>
  <c r="F63" i="1"/>
  <c r="E62" i="1" s="1"/>
  <c r="F64" i="1"/>
  <c r="E64" i="1" s="1"/>
  <c r="F65" i="1"/>
  <c r="F66" i="1"/>
  <c r="E66" i="1" s="1"/>
  <c r="F67" i="1"/>
  <c r="E67" i="1" s="1"/>
  <c r="F68" i="1"/>
  <c r="E68" i="1" s="1"/>
  <c r="F69" i="1"/>
  <c r="E69" i="1" s="1"/>
  <c r="F70" i="1"/>
  <c r="F71" i="1"/>
  <c r="F72" i="1"/>
  <c r="E72" i="1" s="1"/>
  <c r="F73" i="1"/>
  <c r="F74" i="1"/>
  <c r="E74" i="1" s="1"/>
  <c r="F75" i="1"/>
  <c r="E75" i="1" s="1"/>
  <c r="F76" i="1"/>
  <c r="E76" i="1" s="1"/>
  <c r="F77" i="1"/>
  <c r="E77" i="1" s="1"/>
  <c r="F78" i="1"/>
  <c r="F79" i="1"/>
  <c r="F80" i="1"/>
  <c r="E80" i="1" s="1"/>
  <c r="F81" i="1"/>
  <c r="F82" i="1"/>
  <c r="E82" i="1" s="1"/>
  <c r="F83" i="1"/>
  <c r="E83" i="1" s="1"/>
  <c r="F84" i="1"/>
  <c r="E84" i="1" s="1"/>
  <c r="F85" i="1"/>
  <c r="E85" i="1" s="1"/>
  <c r="F86" i="1"/>
  <c r="F87" i="1"/>
  <c r="E86" i="1" s="1"/>
  <c r="F88" i="1"/>
  <c r="E88" i="1" s="1"/>
  <c r="F89" i="1"/>
  <c r="F90" i="1"/>
  <c r="E90" i="1" s="1"/>
  <c r="F91" i="1"/>
  <c r="E91" i="1" s="1"/>
  <c r="F92" i="1"/>
  <c r="E92" i="1" s="1"/>
  <c r="F93" i="1"/>
  <c r="E93" i="1" s="1"/>
  <c r="F94" i="1"/>
  <c r="F95" i="1"/>
  <c r="F96" i="1"/>
  <c r="E96" i="1" s="1"/>
  <c r="F97" i="1"/>
  <c r="F98" i="1"/>
  <c r="E98" i="1" s="1"/>
  <c r="F99" i="1"/>
  <c r="E99" i="1" s="1"/>
  <c r="F100" i="1"/>
  <c r="E100" i="1" s="1"/>
  <c r="F101" i="1"/>
  <c r="E101" i="1" s="1"/>
  <c r="F102" i="1"/>
  <c r="F103" i="1"/>
  <c r="F104" i="1"/>
  <c r="E104" i="1" s="1"/>
  <c r="F105" i="1"/>
  <c r="F106" i="1"/>
  <c r="E106" i="1" s="1"/>
  <c r="F107" i="1"/>
  <c r="E107" i="1" s="1"/>
  <c r="F108" i="1"/>
  <c r="E108" i="1" s="1"/>
  <c r="F109" i="1"/>
  <c r="E109" i="1" s="1"/>
  <c r="F110" i="1"/>
  <c r="F111" i="1"/>
  <c r="F112" i="1"/>
  <c r="E112" i="1" s="1"/>
  <c r="F113" i="1"/>
  <c r="F114" i="1"/>
  <c r="E114" i="1" s="1"/>
  <c r="F115" i="1"/>
  <c r="E115" i="1" s="1"/>
  <c r="F116" i="1"/>
  <c r="E116" i="1" s="1"/>
  <c r="F117" i="1"/>
  <c r="E117" i="1" s="1"/>
  <c r="F118" i="1"/>
  <c r="F119" i="1"/>
  <c r="F120" i="1"/>
  <c r="E120" i="1" s="1"/>
  <c r="F121" i="1"/>
  <c r="F122" i="1"/>
  <c r="E122" i="1" s="1"/>
  <c r="F123" i="1"/>
  <c r="E123" i="1" s="1"/>
  <c r="F124" i="1"/>
  <c r="E124" i="1" s="1"/>
  <c r="F125" i="1"/>
  <c r="E125" i="1" s="1"/>
  <c r="F126" i="1"/>
  <c r="F127" i="1"/>
  <c r="F128" i="1"/>
  <c r="E128" i="1" s="1"/>
  <c r="F129" i="1"/>
  <c r="F130" i="1"/>
  <c r="E130" i="1" s="1"/>
  <c r="F131" i="1"/>
  <c r="E131" i="1" s="1"/>
  <c r="F132" i="1"/>
  <c r="E132" i="1" s="1"/>
  <c r="F133" i="1"/>
  <c r="E133" i="1" s="1"/>
  <c r="F134" i="1"/>
  <c r="F135" i="1"/>
  <c r="F136" i="1"/>
  <c r="E136" i="1" s="1"/>
  <c r="F137" i="1"/>
  <c r="F138" i="1"/>
  <c r="E138" i="1" s="1"/>
  <c r="F139" i="1"/>
  <c r="E139" i="1" s="1"/>
  <c r="F140" i="1"/>
  <c r="E140" i="1" s="1"/>
  <c r="F141" i="1"/>
  <c r="E141" i="1" s="1"/>
  <c r="F142" i="1"/>
  <c r="F143" i="1"/>
  <c r="F144" i="1"/>
  <c r="E144" i="1" s="1"/>
  <c r="F145" i="1"/>
  <c r="F146" i="1"/>
  <c r="E146" i="1" s="1"/>
  <c r="F147" i="1"/>
  <c r="E147" i="1" s="1"/>
  <c r="F148" i="1"/>
  <c r="E148" i="1" s="1"/>
  <c r="F149" i="1"/>
  <c r="E149" i="1" s="1"/>
  <c r="F150" i="1"/>
  <c r="F151" i="1"/>
  <c r="F152" i="1"/>
  <c r="E152" i="1" s="1"/>
  <c r="F153" i="1"/>
  <c r="F154" i="1"/>
  <c r="E154" i="1" s="1"/>
  <c r="F155" i="1"/>
  <c r="E155" i="1" s="1"/>
  <c r="F156" i="1"/>
  <c r="E156" i="1" s="1"/>
  <c r="F157" i="1"/>
  <c r="E157" i="1" s="1"/>
  <c r="F158" i="1"/>
  <c r="F159" i="1"/>
  <c r="F160" i="1"/>
  <c r="E160" i="1" s="1"/>
  <c r="F161" i="1"/>
  <c r="F162" i="1"/>
  <c r="E162" i="1" s="1"/>
  <c r="F163" i="1"/>
  <c r="E163" i="1" s="1"/>
  <c r="F164" i="1"/>
  <c r="E164" i="1" s="1"/>
  <c r="F165" i="1"/>
  <c r="E165" i="1" s="1"/>
  <c r="F166" i="1"/>
  <c r="F167" i="1"/>
  <c r="F168" i="1"/>
  <c r="E168" i="1" s="1"/>
  <c r="F169" i="1"/>
  <c r="F170" i="1"/>
  <c r="E170" i="1" s="1"/>
  <c r="F171" i="1"/>
  <c r="E171" i="1" s="1"/>
  <c r="F172" i="1"/>
  <c r="E172" i="1" s="1"/>
  <c r="F173" i="1"/>
  <c r="E173" i="1" s="1"/>
  <c r="F174" i="1"/>
  <c r="F175" i="1"/>
  <c r="F176" i="1"/>
  <c r="E176" i="1" s="1"/>
  <c r="F177" i="1"/>
  <c r="F178" i="1"/>
  <c r="E178" i="1" s="1"/>
  <c r="F179" i="1"/>
  <c r="E179" i="1" s="1"/>
  <c r="F180" i="1"/>
  <c r="E180" i="1" s="1"/>
  <c r="F181" i="1"/>
  <c r="E181" i="1" s="1"/>
  <c r="F182" i="1"/>
  <c r="F183" i="1"/>
  <c r="F184" i="1"/>
  <c r="E184" i="1" s="1"/>
  <c r="F185" i="1"/>
  <c r="F186" i="1"/>
  <c r="E186" i="1" s="1"/>
  <c r="F187" i="1"/>
  <c r="E187" i="1" s="1"/>
  <c r="F188" i="1"/>
  <c r="E188" i="1" s="1"/>
  <c r="F189" i="1"/>
  <c r="E189" i="1" s="1"/>
  <c r="F190" i="1"/>
  <c r="F191" i="1"/>
  <c r="F192" i="1"/>
  <c r="E192" i="1" s="1"/>
  <c r="F193" i="1"/>
  <c r="F194" i="1"/>
  <c r="E194" i="1" s="1"/>
  <c r="F195" i="1"/>
  <c r="E195" i="1" s="1"/>
  <c r="F196" i="1"/>
  <c r="E196" i="1" s="1"/>
  <c r="F197" i="1"/>
  <c r="E197" i="1" s="1"/>
  <c r="F198" i="1"/>
  <c r="F199" i="1"/>
  <c r="F200" i="1"/>
  <c r="E200" i="1" s="1"/>
  <c r="F201" i="1"/>
  <c r="F2" i="1"/>
  <c r="K43" i="1" l="1"/>
  <c r="K42" i="1"/>
  <c r="E193" i="1"/>
  <c r="E185" i="1"/>
  <c r="E177" i="1"/>
  <c r="E169" i="1"/>
  <c r="E161" i="1"/>
  <c r="E153" i="1"/>
  <c r="E145" i="1"/>
  <c r="E137" i="1"/>
  <c r="E129" i="1"/>
  <c r="E121" i="1"/>
  <c r="E113" i="1"/>
  <c r="E105" i="1"/>
  <c r="E97" i="1"/>
  <c r="E89" i="1"/>
  <c r="E81" i="1"/>
  <c r="E73" i="1"/>
  <c r="E65" i="1"/>
  <c r="E57" i="1"/>
  <c r="E49" i="1"/>
  <c r="E41" i="1"/>
  <c r="E33" i="1"/>
  <c r="E25" i="1"/>
  <c r="E17" i="1"/>
  <c r="E9" i="1"/>
  <c r="E6" i="1"/>
  <c r="E5" i="1"/>
  <c r="K41" i="1"/>
  <c r="K36" i="1"/>
  <c r="E4" i="1"/>
  <c r="K37" i="1"/>
  <c r="E2" i="1"/>
  <c r="J48" i="1"/>
  <c r="K38" i="1"/>
</calcChain>
</file>

<file path=xl/sharedStrings.xml><?xml version="1.0" encoding="utf-8"?>
<sst xmlns="http://schemas.openxmlformats.org/spreadsheetml/2006/main" count="224" uniqueCount="20">
  <si>
    <t>Week_Start_Date</t>
  </si>
  <si>
    <t>Platform</t>
  </si>
  <si>
    <t>New_Followers</t>
  </si>
  <si>
    <t>Unfollows</t>
  </si>
  <si>
    <t>Total_Followers</t>
  </si>
  <si>
    <t>Engagement_Rate</t>
  </si>
  <si>
    <t>Ad_Spend</t>
  </si>
  <si>
    <t>Instagram</t>
  </si>
  <si>
    <t>Facebook</t>
  </si>
  <si>
    <t>Twitter</t>
  </si>
  <si>
    <t>YouTube</t>
  </si>
  <si>
    <t>Net_Followers</t>
  </si>
  <si>
    <t>peak net growth</t>
  </si>
  <si>
    <t>Week with highest follower gain</t>
  </si>
  <si>
    <t>Smoothed_Growth</t>
  </si>
  <si>
    <t>higher ad spend tends to increase followers</t>
  </si>
  <si>
    <t>Correlation</t>
  </si>
  <si>
    <t>Task 7</t>
  </si>
  <si>
    <t>Click Here For Presentation Video</t>
  </si>
  <si>
    <t>https://drive.google.com/drive/folders/1cwCUQV8FSXfUxZxdCuDInJNM4fXMCGdA?usp=sharing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</si>
</sst>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USD]\ #,##0.00"/>
  </numFmts>
  <fonts count="6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  <font>
      <b/>
      <u/>
      <sz val="12"/>
      <color theme="1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1" fontId="1" fillId="0" borderId="1" xfId="0" applyNumberFormat="1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1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3" fillId="2" borderId="2" xfId="0" applyFont="1" applyFill="1" applyBorder="1" applyAlignment="1">
      <alignment horizontal="center"/>
    </xf>
    <xf numFmtId="14" fontId="3" fillId="2" borderId="2" xfId="0" applyNumberFormat="1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4" fillId="0" borderId="0" xfId="1"/>
    <xf numFmtId="0" fontId="3" fillId="0" borderId="0" xfId="0" applyFont="1" applyAlignment="1">
      <alignment horizontal="center"/>
    </xf>
    <xf numFmtId="0" fontId="5" fillId="0" borderId="0" xfId="1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Net_Followers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Sheet1!$A$2:$B$201</c:f>
              <c:multiLvlStrCache>
                <c:ptCount val="200"/>
                <c:lvl>
                  <c:pt idx="0">
                    <c:v>Instagram</c:v>
                  </c:pt>
                  <c:pt idx="1">
                    <c:v>Facebook</c:v>
                  </c:pt>
                  <c:pt idx="2">
                    <c:v>Twitter</c:v>
                  </c:pt>
                  <c:pt idx="3">
                    <c:v>YouTube</c:v>
                  </c:pt>
                  <c:pt idx="4">
                    <c:v>Instagram</c:v>
                  </c:pt>
                  <c:pt idx="5">
                    <c:v>Facebook</c:v>
                  </c:pt>
                  <c:pt idx="6">
                    <c:v>Twitter</c:v>
                  </c:pt>
                  <c:pt idx="7">
                    <c:v>YouTube</c:v>
                  </c:pt>
                  <c:pt idx="8">
                    <c:v>Instagram</c:v>
                  </c:pt>
                  <c:pt idx="9">
                    <c:v>Facebook</c:v>
                  </c:pt>
                  <c:pt idx="10">
                    <c:v>Twitter</c:v>
                  </c:pt>
                  <c:pt idx="11">
                    <c:v>YouTube</c:v>
                  </c:pt>
                  <c:pt idx="12">
                    <c:v>Instagram</c:v>
                  </c:pt>
                  <c:pt idx="13">
                    <c:v>Facebook</c:v>
                  </c:pt>
                  <c:pt idx="14">
                    <c:v>Twitter</c:v>
                  </c:pt>
                  <c:pt idx="15">
                    <c:v>YouTube</c:v>
                  </c:pt>
                  <c:pt idx="16">
                    <c:v>Instagram</c:v>
                  </c:pt>
                  <c:pt idx="17">
                    <c:v>Facebook</c:v>
                  </c:pt>
                  <c:pt idx="18">
                    <c:v>Twitter</c:v>
                  </c:pt>
                  <c:pt idx="19">
                    <c:v>YouTube</c:v>
                  </c:pt>
                  <c:pt idx="20">
                    <c:v>Instagram</c:v>
                  </c:pt>
                  <c:pt idx="21">
                    <c:v>Facebook</c:v>
                  </c:pt>
                  <c:pt idx="22">
                    <c:v>Twitter</c:v>
                  </c:pt>
                  <c:pt idx="23">
                    <c:v>YouTube</c:v>
                  </c:pt>
                  <c:pt idx="24">
                    <c:v>Instagram</c:v>
                  </c:pt>
                  <c:pt idx="25">
                    <c:v>Facebook</c:v>
                  </c:pt>
                  <c:pt idx="26">
                    <c:v>Twitter</c:v>
                  </c:pt>
                  <c:pt idx="27">
                    <c:v>YouTube</c:v>
                  </c:pt>
                  <c:pt idx="28">
                    <c:v>Instagram</c:v>
                  </c:pt>
                  <c:pt idx="29">
                    <c:v>Facebook</c:v>
                  </c:pt>
                  <c:pt idx="30">
                    <c:v>Twitter</c:v>
                  </c:pt>
                  <c:pt idx="31">
                    <c:v>YouTube</c:v>
                  </c:pt>
                  <c:pt idx="32">
                    <c:v>Instagram</c:v>
                  </c:pt>
                  <c:pt idx="33">
                    <c:v>Facebook</c:v>
                  </c:pt>
                  <c:pt idx="34">
                    <c:v>Twitter</c:v>
                  </c:pt>
                  <c:pt idx="35">
                    <c:v>YouTube</c:v>
                  </c:pt>
                  <c:pt idx="36">
                    <c:v>Instagram</c:v>
                  </c:pt>
                  <c:pt idx="37">
                    <c:v>Facebook</c:v>
                  </c:pt>
                  <c:pt idx="38">
                    <c:v>Twitter</c:v>
                  </c:pt>
                  <c:pt idx="39">
                    <c:v>YouTube</c:v>
                  </c:pt>
                  <c:pt idx="40">
                    <c:v>Instagram</c:v>
                  </c:pt>
                  <c:pt idx="41">
                    <c:v>Facebook</c:v>
                  </c:pt>
                  <c:pt idx="42">
                    <c:v>Twitter</c:v>
                  </c:pt>
                  <c:pt idx="43">
                    <c:v>YouTube</c:v>
                  </c:pt>
                  <c:pt idx="44">
                    <c:v>Instagram</c:v>
                  </c:pt>
                  <c:pt idx="45">
                    <c:v>Facebook</c:v>
                  </c:pt>
                  <c:pt idx="46">
                    <c:v>Twitter</c:v>
                  </c:pt>
                  <c:pt idx="47">
                    <c:v>YouTube</c:v>
                  </c:pt>
                  <c:pt idx="48">
                    <c:v>Instagram</c:v>
                  </c:pt>
                  <c:pt idx="49">
                    <c:v>Facebook</c:v>
                  </c:pt>
                  <c:pt idx="50">
                    <c:v>Twitter</c:v>
                  </c:pt>
                  <c:pt idx="51">
                    <c:v>YouTube</c:v>
                  </c:pt>
                  <c:pt idx="52">
                    <c:v>Instagram</c:v>
                  </c:pt>
                  <c:pt idx="53">
                    <c:v>Facebook</c:v>
                  </c:pt>
                  <c:pt idx="54">
                    <c:v>Twitter</c:v>
                  </c:pt>
                  <c:pt idx="55">
                    <c:v>YouTube</c:v>
                  </c:pt>
                  <c:pt idx="56">
                    <c:v>Instagram</c:v>
                  </c:pt>
                  <c:pt idx="57">
                    <c:v>Facebook</c:v>
                  </c:pt>
                  <c:pt idx="58">
                    <c:v>Twitter</c:v>
                  </c:pt>
                  <c:pt idx="59">
                    <c:v>YouTube</c:v>
                  </c:pt>
                  <c:pt idx="60">
                    <c:v>Instagram</c:v>
                  </c:pt>
                  <c:pt idx="61">
                    <c:v>Facebook</c:v>
                  </c:pt>
                  <c:pt idx="62">
                    <c:v>Twitter</c:v>
                  </c:pt>
                  <c:pt idx="63">
                    <c:v>YouTube</c:v>
                  </c:pt>
                  <c:pt idx="64">
                    <c:v>Instagram</c:v>
                  </c:pt>
                  <c:pt idx="65">
                    <c:v>Facebook</c:v>
                  </c:pt>
                  <c:pt idx="66">
                    <c:v>Twitter</c:v>
                  </c:pt>
                  <c:pt idx="67">
                    <c:v>YouTube</c:v>
                  </c:pt>
                  <c:pt idx="68">
                    <c:v>Instagram</c:v>
                  </c:pt>
                  <c:pt idx="69">
                    <c:v>Facebook</c:v>
                  </c:pt>
                  <c:pt idx="70">
                    <c:v>Twitter</c:v>
                  </c:pt>
                  <c:pt idx="71">
                    <c:v>YouTube</c:v>
                  </c:pt>
                  <c:pt idx="72">
                    <c:v>Instagram</c:v>
                  </c:pt>
                  <c:pt idx="73">
                    <c:v>Facebook</c:v>
                  </c:pt>
                  <c:pt idx="74">
                    <c:v>Twitter</c:v>
                  </c:pt>
                  <c:pt idx="75">
                    <c:v>YouTube</c:v>
                  </c:pt>
                  <c:pt idx="76">
                    <c:v>Instagram</c:v>
                  </c:pt>
                  <c:pt idx="77">
                    <c:v>Facebook</c:v>
                  </c:pt>
                  <c:pt idx="78">
                    <c:v>Twitter</c:v>
                  </c:pt>
                  <c:pt idx="79">
                    <c:v>YouTube</c:v>
                  </c:pt>
                  <c:pt idx="80">
                    <c:v>Instagram</c:v>
                  </c:pt>
                  <c:pt idx="81">
                    <c:v>Facebook</c:v>
                  </c:pt>
                  <c:pt idx="82">
                    <c:v>Twitter</c:v>
                  </c:pt>
                  <c:pt idx="83">
                    <c:v>YouTube</c:v>
                  </c:pt>
                  <c:pt idx="84">
                    <c:v>Instagram</c:v>
                  </c:pt>
                  <c:pt idx="85">
                    <c:v>Facebook</c:v>
                  </c:pt>
                  <c:pt idx="86">
                    <c:v>Twitter</c:v>
                  </c:pt>
                  <c:pt idx="87">
                    <c:v>YouTube</c:v>
                  </c:pt>
                  <c:pt idx="88">
                    <c:v>Instagram</c:v>
                  </c:pt>
                  <c:pt idx="89">
                    <c:v>Facebook</c:v>
                  </c:pt>
                  <c:pt idx="90">
                    <c:v>Twitter</c:v>
                  </c:pt>
                  <c:pt idx="91">
                    <c:v>YouTube</c:v>
                  </c:pt>
                  <c:pt idx="92">
                    <c:v>Instagram</c:v>
                  </c:pt>
                  <c:pt idx="93">
                    <c:v>Facebook</c:v>
                  </c:pt>
                  <c:pt idx="94">
                    <c:v>Twitter</c:v>
                  </c:pt>
                  <c:pt idx="95">
                    <c:v>YouTube</c:v>
                  </c:pt>
                  <c:pt idx="96">
                    <c:v>Instagram</c:v>
                  </c:pt>
                  <c:pt idx="97">
                    <c:v>Facebook</c:v>
                  </c:pt>
                  <c:pt idx="98">
                    <c:v>Twitter</c:v>
                  </c:pt>
                  <c:pt idx="99">
                    <c:v>YouTube</c:v>
                  </c:pt>
                  <c:pt idx="100">
                    <c:v>Instagram</c:v>
                  </c:pt>
                  <c:pt idx="101">
                    <c:v>Facebook</c:v>
                  </c:pt>
                  <c:pt idx="102">
                    <c:v>Twitter</c:v>
                  </c:pt>
                  <c:pt idx="103">
                    <c:v>YouTube</c:v>
                  </c:pt>
                  <c:pt idx="104">
                    <c:v>Instagram</c:v>
                  </c:pt>
                  <c:pt idx="105">
                    <c:v>Facebook</c:v>
                  </c:pt>
                  <c:pt idx="106">
                    <c:v>Twitter</c:v>
                  </c:pt>
                  <c:pt idx="107">
                    <c:v>YouTube</c:v>
                  </c:pt>
                  <c:pt idx="108">
                    <c:v>Instagram</c:v>
                  </c:pt>
                  <c:pt idx="109">
                    <c:v>Facebook</c:v>
                  </c:pt>
                  <c:pt idx="110">
                    <c:v>Twitter</c:v>
                  </c:pt>
                  <c:pt idx="111">
                    <c:v>YouTube</c:v>
                  </c:pt>
                  <c:pt idx="112">
                    <c:v>Instagram</c:v>
                  </c:pt>
                  <c:pt idx="113">
                    <c:v>Facebook</c:v>
                  </c:pt>
                  <c:pt idx="114">
                    <c:v>Twitter</c:v>
                  </c:pt>
                  <c:pt idx="115">
                    <c:v>YouTube</c:v>
                  </c:pt>
                  <c:pt idx="116">
                    <c:v>Instagram</c:v>
                  </c:pt>
                  <c:pt idx="117">
                    <c:v>Facebook</c:v>
                  </c:pt>
                  <c:pt idx="118">
                    <c:v>Twitter</c:v>
                  </c:pt>
                  <c:pt idx="119">
                    <c:v>YouTube</c:v>
                  </c:pt>
                  <c:pt idx="120">
                    <c:v>Instagram</c:v>
                  </c:pt>
                  <c:pt idx="121">
                    <c:v>Facebook</c:v>
                  </c:pt>
                  <c:pt idx="122">
                    <c:v>Twitter</c:v>
                  </c:pt>
                  <c:pt idx="123">
                    <c:v>YouTube</c:v>
                  </c:pt>
                  <c:pt idx="124">
                    <c:v>Instagram</c:v>
                  </c:pt>
                  <c:pt idx="125">
                    <c:v>Facebook</c:v>
                  </c:pt>
                  <c:pt idx="126">
                    <c:v>Twitter</c:v>
                  </c:pt>
                  <c:pt idx="127">
                    <c:v>YouTube</c:v>
                  </c:pt>
                  <c:pt idx="128">
                    <c:v>Instagram</c:v>
                  </c:pt>
                  <c:pt idx="129">
                    <c:v>Facebook</c:v>
                  </c:pt>
                  <c:pt idx="130">
                    <c:v>Twitter</c:v>
                  </c:pt>
                  <c:pt idx="131">
                    <c:v>YouTube</c:v>
                  </c:pt>
                  <c:pt idx="132">
                    <c:v>Instagram</c:v>
                  </c:pt>
                  <c:pt idx="133">
                    <c:v>Facebook</c:v>
                  </c:pt>
                  <c:pt idx="134">
                    <c:v>Twitter</c:v>
                  </c:pt>
                  <c:pt idx="135">
                    <c:v>YouTube</c:v>
                  </c:pt>
                  <c:pt idx="136">
                    <c:v>Instagram</c:v>
                  </c:pt>
                  <c:pt idx="137">
                    <c:v>Facebook</c:v>
                  </c:pt>
                  <c:pt idx="138">
                    <c:v>Twitter</c:v>
                  </c:pt>
                  <c:pt idx="139">
                    <c:v>YouTube</c:v>
                  </c:pt>
                  <c:pt idx="140">
                    <c:v>Instagram</c:v>
                  </c:pt>
                  <c:pt idx="141">
                    <c:v>Facebook</c:v>
                  </c:pt>
                  <c:pt idx="142">
                    <c:v>Twitter</c:v>
                  </c:pt>
                  <c:pt idx="143">
                    <c:v>YouTube</c:v>
                  </c:pt>
                  <c:pt idx="144">
                    <c:v>Instagram</c:v>
                  </c:pt>
                  <c:pt idx="145">
                    <c:v>Facebook</c:v>
                  </c:pt>
                  <c:pt idx="146">
                    <c:v>Twitter</c:v>
                  </c:pt>
                  <c:pt idx="147">
                    <c:v>YouTube</c:v>
                  </c:pt>
                  <c:pt idx="148">
                    <c:v>Instagram</c:v>
                  </c:pt>
                  <c:pt idx="149">
                    <c:v>Facebook</c:v>
                  </c:pt>
                  <c:pt idx="150">
                    <c:v>Twitter</c:v>
                  </c:pt>
                  <c:pt idx="151">
                    <c:v>YouTube</c:v>
                  </c:pt>
                  <c:pt idx="152">
                    <c:v>Instagram</c:v>
                  </c:pt>
                  <c:pt idx="153">
                    <c:v>Facebook</c:v>
                  </c:pt>
                  <c:pt idx="154">
                    <c:v>Twitter</c:v>
                  </c:pt>
                  <c:pt idx="155">
                    <c:v>YouTube</c:v>
                  </c:pt>
                  <c:pt idx="156">
                    <c:v>Instagram</c:v>
                  </c:pt>
                  <c:pt idx="157">
                    <c:v>Facebook</c:v>
                  </c:pt>
                  <c:pt idx="158">
                    <c:v>Twitter</c:v>
                  </c:pt>
                  <c:pt idx="159">
                    <c:v>YouTube</c:v>
                  </c:pt>
                  <c:pt idx="160">
                    <c:v>Instagram</c:v>
                  </c:pt>
                  <c:pt idx="161">
                    <c:v>Facebook</c:v>
                  </c:pt>
                  <c:pt idx="162">
                    <c:v>Twitter</c:v>
                  </c:pt>
                  <c:pt idx="163">
                    <c:v>YouTube</c:v>
                  </c:pt>
                  <c:pt idx="164">
                    <c:v>Instagram</c:v>
                  </c:pt>
                  <c:pt idx="165">
                    <c:v>Facebook</c:v>
                  </c:pt>
                  <c:pt idx="166">
                    <c:v>Twitter</c:v>
                  </c:pt>
                  <c:pt idx="167">
                    <c:v>YouTube</c:v>
                  </c:pt>
                  <c:pt idx="168">
                    <c:v>Instagram</c:v>
                  </c:pt>
                  <c:pt idx="169">
                    <c:v>Facebook</c:v>
                  </c:pt>
                  <c:pt idx="170">
                    <c:v>Twitter</c:v>
                  </c:pt>
                  <c:pt idx="171">
                    <c:v>YouTube</c:v>
                  </c:pt>
                  <c:pt idx="172">
                    <c:v>Instagram</c:v>
                  </c:pt>
                  <c:pt idx="173">
                    <c:v>Facebook</c:v>
                  </c:pt>
                  <c:pt idx="174">
                    <c:v>Twitter</c:v>
                  </c:pt>
                  <c:pt idx="175">
                    <c:v>YouTube</c:v>
                  </c:pt>
                  <c:pt idx="176">
                    <c:v>Instagram</c:v>
                  </c:pt>
                  <c:pt idx="177">
                    <c:v>Facebook</c:v>
                  </c:pt>
                  <c:pt idx="178">
                    <c:v>Twitter</c:v>
                  </c:pt>
                  <c:pt idx="179">
                    <c:v>YouTube</c:v>
                  </c:pt>
                  <c:pt idx="180">
                    <c:v>Instagram</c:v>
                  </c:pt>
                  <c:pt idx="181">
                    <c:v>Facebook</c:v>
                  </c:pt>
                  <c:pt idx="182">
                    <c:v>Twitter</c:v>
                  </c:pt>
                  <c:pt idx="183">
                    <c:v>YouTube</c:v>
                  </c:pt>
                  <c:pt idx="184">
                    <c:v>Instagram</c:v>
                  </c:pt>
                  <c:pt idx="185">
                    <c:v>Facebook</c:v>
                  </c:pt>
                  <c:pt idx="186">
                    <c:v>Twitter</c:v>
                  </c:pt>
                  <c:pt idx="187">
                    <c:v>YouTube</c:v>
                  </c:pt>
                  <c:pt idx="188">
                    <c:v>Instagram</c:v>
                  </c:pt>
                  <c:pt idx="189">
                    <c:v>Facebook</c:v>
                  </c:pt>
                  <c:pt idx="190">
                    <c:v>Twitter</c:v>
                  </c:pt>
                  <c:pt idx="191">
                    <c:v>YouTube</c:v>
                  </c:pt>
                  <c:pt idx="192">
                    <c:v>Instagram</c:v>
                  </c:pt>
                  <c:pt idx="193">
                    <c:v>Facebook</c:v>
                  </c:pt>
                  <c:pt idx="194">
                    <c:v>Twitter</c:v>
                  </c:pt>
                  <c:pt idx="195">
                    <c:v>YouTube</c:v>
                  </c:pt>
                  <c:pt idx="196">
                    <c:v>Instagram</c:v>
                  </c:pt>
                  <c:pt idx="197">
                    <c:v>Facebook</c:v>
                  </c:pt>
                  <c:pt idx="198">
                    <c:v>Twitter</c:v>
                  </c:pt>
                  <c:pt idx="199">
                    <c:v>YouTube</c:v>
                  </c:pt>
                </c:lvl>
                <c:lvl>
                  <c:pt idx="0">
                    <c:v>03/06/24</c:v>
                  </c:pt>
                  <c:pt idx="1">
                    <c:v>03/06/24</c:v>
                  </c:pt>
                  <c:pt idx="2">
                    <c:v>03/06/24</c:v>
                  </c:pt>
                  <c:pt idx="3">
                    <c:v>03/06/24</c:v>
                  </c:pt>
                  <c:pt idx="4">
                    <c:v>10/06/24</c:v>
                  </c:pt>
                  <c:pt idx="5">
                    <c:v>10/06/24</c:v>
                  </c:pt>
                  <c:pt idx="6">
                    <c:v>10/06/24</c:v>
                  </c:pt>
                  <c:pt idx="7">
                    <c:v>10/06/24</c:v>
                  </c:pt>
                  <c:pt idx="8">
                    <c:v>17/06/24</c:v>
                  </c:pt>
                  <c:pt idx="9">
                    <c:v>17/06/24</c:v>
                  </c:pt>
                  <c:pt idx="10">
                    <c:v>17/06/24</c:v>
                  </c:pt>
                  <c:pt idx="11">
                    <c:v>17/06/24</c:v>
                  </c:pt>
                  <c:pt idx="12">
                    <c:v>24/06/24</c:v>
                  </c:pt>
                  <c:pt idx="13">
                    <c:v>24/06/24</c:v>
                  </c:pt>
                  <c:pt idx="14">
                    <c:v>24/06/24</c:v>
                  </c:pt>
                  <c:pt idx="15">
                    <c:v>24/06/24</c:v>
                  </c:pt>
                  <c:pt idx="16">
                    <c:v>01/07/24</c:v>
                  </c:pt>
                  <c:pt idx="17">
                    <c:v>01/07/24</c:v>
                  </c:pt>
                  <c:pt idx="18">
                    <c:v>01/07/24</c:v>
                  </c:pt>
                  <c:pt idx="19">
                    <c:v>01/07/24</c:v>
                  </c:pt>
                  <c:pt idx="20">
                    <c:v>08/07/24</c:v>
                  </c:pt>
                  <c:pt idx="21">
                    <c:v>08/07/24</c:v>
                  </c:pt>
                  <c:pt idx="22">
                    <c:v>08/07/24</c:v>
                  </c:pt>
                  <c:pt idx="23">
                    <c:v>08/07/24</c:v>
                  </c:pt>
                  <c:pt idx="24">
                    <c:v>15/07/24</c:v>
                  </c:pt>
                  <c:pt idx="25">
                    <c:v>15/07/24</c:v>
                  </c:pt>
                  <c:pt idx="26">
                    <c:v>15/07/24</c:v>
                  </c:pt>
                  <c:pt idx="27">
                    <c:v>15/07/24</c:v>
                  </c:pt>
                  <c:pt idx="28">
                    <c:v>22/07/24</c:v>
                  </c:pt>
                  <c:pt idx="29">
                    <c:v>22/07/24</c:v>
                  </c:pt>
                  <c:pt idx="30">
                    <c:v>22/07/24</c:v>
                  </c:pt>
                  <c:pt idx="31">
                    <c:v>22/07/24</c:v>
                  </c:pt>
                  <c:pt idx="32">
                    <c:v>29/07/24</c:v>
                  </c:pt>
                  <c:pt idx="33">
                    <c:v>29/07/24</c:v>
                  </c:pt>
                  <c:pt idx="34">
                    <c:v>29/07/24</c:v>
                  </c:pt>
                  <c:pt idx="35">
                    <c:v>29/07/24</c:v>
                  </c:pt>
                  <c:pt idx="36">
                    <c:v>05/08/24</c:v>
                  </c:pt>
                  <c:pt idx="37">
                    <c:v>05/08/24</c:v>
                  </c:pt>
                  <c:pt idx="38">
                    <c:v>05/08/24</c:v>
                  </c:pt>
                  <c:pt idx="39">
                    <c:v>05/08/24</c:v>
                  </c:pt>
                  <c:pt idx="40">
                    <c:v>12/08/24</c:v>
                  </c:pt>
                  <c:pt idx="41">
                    <c:v>12/08/24</c:v>
                  </c:pt>
                  <c:pt idx="42">
                    <c:v>12/08/24</c:v>
                  </c:pt>
                  <c:pt idx="43">
                    <c:v>12/08/24</c:v>
                  </c:pt>
                  <c:pt idx="44">
                    <c:v>19/08/24</c:v>
                  </c:pt>
                  <c:pt idx="45">
                    <c:v>19/08/24</c:v>
                  </c:pt>
                  <c:pt idx="46">
                    <c:v>19/08/24</c:v>
                  </c:pt>
                  <c:pt idx="47">
                    <c:v>19/08/24</c:v>
                  </c:pt>
                  <c:pt idx="48">
                    <c:v>26/08/24</c:v>
                  </c:pt>
                  <c:pt idx="49">
                    <c:v>26/08/24</c:v>
                  </c:pt>
                  <c:pt idx="50">
                    <c:v>26/08/24</c:v>
                  </c:pt>
                  <c:pt idx="51">
                    <c:v>26/08/24</c:v>
                  </c:pt>
                  <c:pt idx="52">
                    <c:v>02/09/24</c:v>
                  </c:pt>
                  <c:pt idx="53">
                    <c:v>02/09/24</c:v>
                  </c:pt>
                  <c:pt idx="54">
                    <c:v>02/09/24</c:v>
                  </c:pt>
                  <c:pt idx="55">
                    <c:v>02/09/24</c:v>
                  </c:pt>
                  <c:pt idx="56">
                    <c:v>09/09/24</c:v>
                  </c:pt>
                  <c:pt idx="57">
                    <c:v>09/09/24</c:v>
                  </c:pt>
                  <c:pt idx="58">
                    <c:v>09/09/24</c:v>
                  </c:pt>
                  <c:pt idx="59">
                    <c:v>09/09/24</c:v>
                  </c:pt>
                  <c:pt idx="60">
                    <c:v>16/09/24</c:v>
                  </c:pt>
                  <c:pt idx="61">
                    <c:v>16/09/24</c:v>
                  </c:pt>
                  <c:pt idx="62">
                    <c:v>16/09/24</c:v>
                  </c:pt>
                  <c:pt idx="63">
                    <c:v>16/09/24</c:v>
                  </c:pt>
                  <c:pt idx="64">
                    <c:v>23/09/24</c:v>
                  </c:pt>
                  <c:pt idx="65">
                    <c:v>23/09/24</c:v>
                  </c:pt>
                  <c:pt idx="66">
                    <c:v>23/09/24</c:v>
                  </c:pt>
                  <c:pt idx="67">
                    <c:v>23/09/24</c:v>
                  </c:pt>
                  <c:pt idx="68">
                    <c:v>30/09/24</c:v>
                  </c:pt>
                  <c:pt idx="69">
                    <c:v>30/09/24</c:v>
                  </c:pt>
                  <c:pt idx="70">
                    <c:v>30/09/24</c:v>
                  </c:pt>
                  <c:pt idx="71">
                    <c:v>30/09/24</c:v>
                  </c:pt>
                  <c:pt idx="72">
                    <c:v>07/10/24</c:v>
                  </c:pt>
                  <c:pt idx="73">
                    <c:v>07/10/24</c:v>
                  </c:pt>
                  <c:pt idx="74">
                    <c:v>07/10/24</c:v>
                  </c:pt>
                  <c:pt idx="75">
                    <c:v>07/10/24</c:v>
                  </c:pt>
                  <c:pt idx="76">
                    <c:v>14/10/24</c:v>
                  </c:pt>
                  <c:pt idx="77">
                    <c:v>14/10/24</c:v>
                  </c:pt>
                  <c:pt idx="78">
                    <c:v>14/10/24</c:v>
                  </c:pt>
                  <c:pt idx="79">
                    <c:v>14/10/24</c:v>
                  </c:pt>
                  <c:pt idx="80">
                    <c:v>21/10/24</c:v>
                  </c:pt>
                  <c:pt idx="81">
                    <c:v>21/10/24</c:v>
                  </c:pt>
                  <c:pt idx="82">
                    <c:v>21/10/24</c:v>
                  </c:pt>
                  <c:pt idx="83">
                    <c:v>21/10/24</c:v>
                  </c:pt>
                  <c:pt idx="84">
                    <c:v>28/10/24</c:v>
                  </c:pt>
                  <c:pt idx="85">
                    <c:v>28/10/24</c:v>
                  </c:pt>
                  <c:pt idx="86">
                    <c:v>28/10/24</c:v>
                  </c:pt>
                  <c:pt idx="87">
                    <c:v>28/10/24</c:v>
                  </c:pt>
                  <c:pt idx="88">
                    <c:v>04/11/24</c:v>
                  </c:pt>
                  <c:pt idx="89">
                    <c:v>04/11/24</c:v>
                  </c:pt>
                  <c:pt idx="90">
                    <c:v>04/11/24</c:v>
                  </c:pt>
                  <c:pt idx="91">
                    <c:v>04/11/24</c:v>
                  </c:pt>
                  <c:pt idx="92">
                    <c:v>11/11/24</c:v>
                  </c:pt>
                  <c:pt idx="93">
                    <c:v>11/11/24</c:v>
                  </c:pt>
                  <c:pt idx="94">
                    <c:v>11/11/24</c:v>
                  </c:pt>
                  <c:pt idx="95">
                    <c:v>11/11/24</c:v>
                  </c:pt>
                  <c:pt idx="96">
                    <c:v>18/11/24</c:v>
                  </c:pt>
                  <c:pt idx="97">
                    <c:v>18/11/24</c:v>
                  </c:pt>
                  <c:pt idx="98">
                    <c:v>18/11/24</c:v>
                  </c:pt>
                  <c:pt idx="99">
                    <c:v>18/11/24</c:v>
                  </c:pt>
                  <c:pt idx="100">
                    <c:v>25/11/24</c:v>
                  </c:pt>
                  <c:pt idx="101">
                    <c:v>25/11/24</c:v>
                  </c:pt>
                  <c:pt idx="102">
                    <c:v>25/11/24</c:v>
                  </c:pt>
                  <c:pt idx="103">
                    <c:v>25/11/24</c:v>
                  </c:pt>
                  <c:pt idx="104">
                    <c:v>02/12/24</c:v>
                  </c:pt>
                  <c:pt idx="105">
                    <c:v>02/12/24</c:v>
                  </c:pt>
                  <c:pt idx="106">
                    <c:v>02/12/24</c:v>
                  </c:pt>
                  <c:pt idx="107">
                    <c:v>02/12/24</c:v>
                  </c:pt>
                  <c:pt idx="108">
                    <c:v>09/12/24</c:v>
                  </c:pt>
                  <c:pt idx="109">
                    <c:v>09/12/24</c:v>
                  </c:pt>
                  <c:pt idx="110">
                    <c:v>09/12/24</c:v>
                  </c:pt>
                  <c:pt idx="111">
                    <c:v>09/12/24</c:v>
                  </c:pt>
                  <c:pt idx="112">
                    <c:v>16/12/24</c:v>
                  </c:pt>
                  <c:pt idx="113">
                    <c:v>16/12/24</c:v>
                  </c:pt>
                  <c:pt idx="114">
                    <c:v>16/12/24</c:v>
                  </c:pt>
                  <c:pt idx="115">
                    <c:v>16/12/24</c:v>
                  </c:pt>
                  <c:pt idx="116">
                    <c:v>23/12/24</c:v>
                  </c:pt>
                  <c:pt idx="117">
                    <c:v>23/12/24</c:v>
                  </c:pt>
                  <c:pt idx="118">
                    <c:v>23/12/24</c:v>
                  </c:pt>
                  <c:pt idx="119">
                    <c:v>23/12/24</c:v>
                  </c:pt>
                  <c:pt idx="120">
                    <c:v>30/12/24</c:v>
                  </c:pt>
                  <c:pt idx="121">
                    <c:v>30/12/24</c:v>
                  </c:pt>
                  <c:pt idx="122">
                    <c:v>30/12/24</c:v>
                  </c:pt>
                  <c:pt idx="123">
                    <c:v>30/12/24</c:v>
                  </c:pt>
                  <c:pt idx="124">
                    <c:v>06/01/25</c:v>
                  </c:pt>
                  <c:pt idx="125">
                    <c:v>06/01/25</c:v>
                  </c:pt>
                  <c:pt idx="126">
                    <c:v>06/01/25</c:v>
                  </c:pt>
                  <c:pt idx="127">
                    <c:v>06/01/25</c:v>
                  </c:pt>
                  <c:pt idx="128">
                    <c:v>13/01/25</c:v>
                  </c:pt>
                  <c:pt idx="129">
                    <c:v>13/01/25</c:v>
                  </c:pt>
                  <c:pt idx="130">
                    <c:v>13/01/25</c:v>
                  </c:pt>
                  <c:pt idx="131">
                    <c:v>13/01/25</c:v>
                  </c:pt>
                  <c:pt idx="132">
                    <c:v>20/01/25</c:v>
                  </c:pt>
                  <c:pt idx="133">
                    <c:v>20/01/25</c:v>
                  </c:pt>
                  <c:pt idx="134">
                    <c:v>20/01/25</c:v>
                  </c:pt>
                  <c:pt idx="135">
                    <c:v>20/01/25</c:v>
                  </c:pt>
                  <c:pt idx="136">
                    <c:v>27/01/25</c:v>
                  </c:pt>
                  <c:pt idx="137">
                    <c:v>27/01/25</c:v>
                  </c:pt>
                  <c:pt idx="138">
                    <c:v>27/01/25</c:v>
                  </c:pt>
                  <c:pt idx="139">
                    <c:v>27/01/25</c:v>
                  </c:pt>
                  <c:pt idx="140">
                    <c:v>03/02/25</c:v>
                  </c:pt>
                  <c:pt idx="141">
                    <c:v>03/02/25</c:v>
                  </c:pt>
                  <c:pt idx="142">
                    <c:v>03/02/25</c:v>
                  </c:pt>
                  <c:pt idx="143">
                    <c:v>03/02/25</c:v>
                  </c:pt>
                  <c:pt idx="144">
                    <c:v>10/02/25</c:v>
                  </c:pt>
                  <c:pt idx="145">
                    <c:v>10/02/25</c:v>
                  </c:pt>
                  <c:pt idx="146">
                    <c:v>10/02/25</c:v>
                  </c:pt>
                  <c:pt idx="147">
                    <c:v>10/02/25</c:v>
                  </c:pt>
                  <c:pt idx="148">
                    <c:v>17/02/25</c:v>
                  </c:pt>
                  <c:pt idx="149">
                    <c:v>17/02/25</c:v>
                  </c:pt>
                  <c:pt idx="150">
                    <c:v>17/02/25</c:v>
                  </c:pt>
                  <c:pt idx="151">
                    <c:v>17/02/25</c:v>
                  </c:pt>
                  <c:pt idx="152">
                    <c:v>24/02/25</c:v>
                  </c:pt>
                  <c:pt idx="153">
                    <c:v>24/02/25</c:v>
                  </c:pt>
                  <c:pt idx="154">
                    <c:v>24/02/25</c:v>
                  </c:pt>
                  <c:pt idx="155">
                    <c:v>24/02/25</c:v>
                  </c:pt>
                  <c:pt idx="156">
                    <c:v>03/03/25</c:v>
                  </c:pt>
                  <c:pt idx="157">
                    <c:v>03/03/25</c:v>
                  </c:pt>
                  <c:pt idx="158">
                    <c:v>03/03/25</c:v>
                  </c:pt>
                  <c:pt idx="159">
                    <c:v>03/03/25</c:v>
                  </c:pt>
                  <c:pt idx="160">
                    <c:v>10/03/25</c:v>
                  </c:pt>
                  <c:pt idx="161">
                    <c:v>10/03/25</c:v>
                  </c:pt>
                  <c:pt idx="162">
                    <c:v>10/03/25</c:v>
                  </c:pt>
                  <c:pt idx="163">
                    <c:v>10/03/25</c:v>
                  </c:pt>
                  <c:pt idx="164">
                    <c:v>17/03/25</c:v>
                  </c:pt>
                  <c:pt idx="165">
                    <c:v>17/03/25</c:v>
                  </c:pt>
                  <c:pt idx="166">
                    <c:v>17/03/25</c:v>
                  </c:pt>
                  <c:pt idx="167">
                    <c:v>17/03/25</c:v>
                  </c:pt>
                  <c:pt idx="168">
                    <c:v>24/03/25</c:v>
                  </c:pt>
                  <c:pt idx="169">
                    <c:v>24/03/25</c:v>
                  </c:pt>
                  <c:pt idx="170">
                    <c:v>24/03/25</c:v>
                  </c:pt>
                  <c:pt idx="171">
                    <c:v>24/03/25</c:v>
                  </c:pt>
                  <c:pt idx="172">
                    <c:v>31/03/25</c:v>
                  </c:pt>
                  <c:pt idx="173">
                    <c:v>31/03/25</c:v>
                  </c:pt>
                  <c:pt idx="174">
                    <c:v>31/03/25</c:v>
                  </c:pt>
                  <c:pt idx="175">
                    <c:v>31/03/25</c:v>
                  </c:pt>
                  <c:pt idx="176">
                    <c:v>07/04/25</c:v>
                  </c:pt>
                  <c:pt idx="177">
                    <c:v>07/04/25</c:v>
                  </c:pt>
                  <c:pt idx="178">
                    <c:v>07/04/25</c:v>
                  </c:pt>
                  <c:pt idx="179">
                    <c:v>07/04/25</c:v>
                  </c:pt>
                  <c:pt idx="180">
                    <c:v>14/04/25</c:v>
                  </c:pt>
                  <c:pt idx="181">
                    <c:v>14/04/25</c:v>
                  </c:pt>
                  <c:pt idx="182">
                    <c:v>14/04/25</c:v>
                  </c:pt>
                  <c:pt idx="183">
                    <c:v>14/04/25</c:v>
                  </c:pt>
                  <c:pt idx="184">
                    <c:v>21/04/25</c:v>
                  </c:pt>
                  <c:pt idx="185">
                    <c:v>21/04/25</c:v>
                  </c:pt>
                  <c:pt idx="186">
                    <c:v>21/04/25</c:v>
                  </c:pt>
                  <c:pt idx="187">
                    <c:v>21/04/25</c:v>
                  </c:pt>
                  <c:pt idx="188">
                    <c:v>28/04/25</c:v>
                  </c:pt>
                  <c:pt idx="189">
                    <c:v>28/04/25</c:v>
                  </c:pt>
                  <c:pt idx="190">
                    <c:v>28/04/25</c:v>
                  </c:pt>
                  <c:pt idx="191">
                    <c:v>28/04/25</c:v>
                  </c:pt>
                  <c:pt idx="192">
                    <c:v>05/05/25</c:v>
                  </c:pt>
                  <c:pt idx="193">
                    <c:v>05/05/25</c:v>
                  </c:pt>
                  <c:pt idx="194">
                    <c:v>05/05/25</c:v>
                  </c:pt>
                  <c:pt idx="195">
                    <c:v>05/05/25</c:v>
                  </c:pt>
                  <c:pt idx="196">
                    <c:v>12/05/25</c:v>
                  </c:pt>
                  <c:pt idx="197">
                    <c:v>12/05/25</c:v>
                  </c:pt>
                  <c:pt idx="198">
                    <c:v>12/05/25</c:v>
                  </c:pt>
                  <c:pt idx="199">
                    <c:v>12/05/25</c:v>
                  </c:pt>
                </c:lvl>
              </c:multiLvlStrCache>
            </c:multiLvlStrRef>
          </c:cat>
          <c:val>
            <c:numRef>
              <c:f>Sheet1!$F$2:$F$201</c:f>
              <c:numCache>
                <c:formatCode>0</c:formatCode>
                <c:ptCount val="200"/>
                <c:pt idx="0">
                  <c:v>1047</c:v>
                </c:pt>
                <c:pt idx="1">
                  <c:v>1002</c:v>
                </c:pt>
                <c:pt idx="2">
                  <c:v>415</c:v>
                </c:pt>
                <c:pt idx="3">
                  <c:v>1090</c:v>
                </c:pt>
                <c:pt idx="4">
                  <c:v>517</c:v>
                </c:pt>
                <c:pt idx="5">
                  <c:v>1283</c:v>
                </c:pt>
                <c:pt idx="6">
                  <c:v>186</c:v>
                </c:pt>
                <c:pt idx="7">
                  <c:v>994</c:v>
                </c:pt>
                <c:pt idx="8">
                  <c:v>893</c:v>
                </c:pt>
                <c:pt idx="9">
                  <c:v>1382</c:v>
                </c:pt>
                <c:pt idx="10">
                  <c:v>1295</c:v>
                </c:pt>
                <c:pt idx="11">
                  <c:v>337</c:v>
                </c:pt>
                <c:pt idx="12">
                  <c:v>629</c:v>
                </c:pt>
                <c:pt idx="13">
                  <c:v>1670</c:v>
                </c:pt>
                <c:pt idx="14">
                  <c:v>835</c:v>
                </c:pt>
                <c:pt idx="15">
                  <c:v>-123</c:v>
                </c:pt>
                <c:pt idx="16">
                  <c:v>-219</c:v>
                </c:pt>
                <c:pt idx="17">
                  <c:v>64</c:v>
                </c:pt>
                <c:pt idx="18">
                  <c:v>1357</c:v>
                </c:pt>
                <c:pt idx="19">
                  <c:v>91</c:v>
                </c:pt>
                <c:pt idx="20">
                  <c:v>1672</c:v>
                </c:pt>
                <c:pt idx="21">
                  <c:v>309</c:v>
                </c:pt>
                <c:pt idx="22">
                  <c:v>547</c:v>
                </c:pt>
                <c:pt idx="23">
                  <c:v>514</c:v>
                </c:pt>
                <c:pt idx="24">
                  <c:v>1845</c:v>
                </c:pt>
                <c:pt idx="25">
                  <c:v>-164</c:v>
                </c:pt>
                <c:pt idx="26">
                  <c:v>429</c:v>
                </c:pt>
                <c:pt idx="27">
                  <c:v>160</c:v>
                </c:pt>
                <c:pt idx="28">
                  <c:v>159</c:v>
                </c:pt>
                <c:pt idx="29">
                  <c:v>961</c:v>
                </c:pt>
                <c:pt idx="30">
                  <c:v>1316</c:v>
                </c:pt>
                <c:pt idx="31">
                  <c:v>317</c:v>
                </c:pt>
                <c:pt idx="32">
                  <c:v>541</c:v>
                </c:pt>
                <c:pt idx="33">
                  <c:v>-318</c:v>
                </c:pt>
                <c:pt idx="34">
                  <c:v>1495</c:v>
                </c:pt>
                <c:pt idx="35">
                  <c:v>475</c:v>
                </c:pt>
                <c:pt idx="36">
                  <c:v>352</c:v>
                </c:pt>
                <c:pt idx="37">
                  <c:v>-197</c:v>
                </c:pt>
                <c:pt idx="38">
                  <c:v>328</c:v>
                </c:pt>
                <c:pt idx="39">
                  <c:v>319</c:v>
                </c:pt>
                <c:pt idx="40">
                  <c:v>1325</c:v>
                </c:pt>
                <c:pt idx="41">
                  <c:v>1334</c:v>
                </c:pt>
                <c:pt idx="42">
                  <c:v>37</c:v>
                </c:pt>
                <c:pt idx="43">
                  <c:v>1032</c:v>
                </c:pt>
                <c:pt idx="44">
                  <c:v>76</c:v>
                </c:pt>
                <c:pt idx="45">
                  <c:v>1058</c:v>
                </c:pt>
                <c:pt idx="46">
                  <c:v>1665</c:v>
                </c:pt>
                <c:pt idx="47">
                  <c:v>190</c:v>
                </c:pt>
                <c:pt idx="48">
                  <c:v>1609</c:v>
                </c:pt>
                <c:pt idx="49">
                  <c:v>37</c:v>
                </c:pt>
                <c:pt idx="50">
                  <c:v>1229</c:v>
                </c:pt>
                <c:pt idx="51">
                  <c:v>28</c:v>
                </c:pt>
                <c:pt idx="52">
                  <c:v>1247</c:v>
                </c:pt>
                <c:pt idx="53">
                  <c:v>1045</c:v>
                </c:pt>
                <c:pt idx="54">
                  <c:v>197</c:v>
                </c:pt>
                <c:pt idx="55">
                  <c:v>333</c:v>
                </c:pt>
                <c:pt idx="56">
                  <c:v>1572</c:v>
                </c:pt>
                <c:pt idx="57">
                  <c:v>1428</c:v>
                </c:pt>
                <c:pt idx="58">
                  <c:v>260</c:v>
                </c:pt>
                <c:pt idx="59">
                  <c:v>1100</c:v>
                </c:pt>
                <c:pt idx="60">
                  <c:v>377</c:v>
                </c:pt>
                <c:pt idx="61">
                  <c:v>98</c:v>
                </c:pt>
                <c:pt idx="62">
                  <c:v>1125</c:v>
                </c:pt>
                <c:pt idx="63">
                  <c:v>-32</c:v>
                </c:pt>
                <c:pt idx="64">
                  <c:v>666</c:v>
                </c:pt>
                <c:pt idx="65">
                  <c:v>-19</c:v>
                </c:pt>
                <c:pt idx="66">
                  <c:v>1680</c:v>
                </c:pt>
                <c:pt idx="67">
                  <c:v>1006</c:v>
                </c:pt>
                <c:pt idx="68">
                  <c:v>1025</c:v>
                </c:pt>
                <c:pt idx="69">
                  <c:v>-179</c:v>
                </c:pt>
                <c:pt idx="70">
                  <c:v>599</c:v>
                </c:pt>
                <c:pt idx="71">
                  <c:v>1706</c:v>
                </c:pt>
                <c:pt idx="72">
                  <c:v>1872</c:v>
                </c:pt>
                <c:pt idx="73">
                  <c:v>1662</c:v>
                </c:pt>
                <c:pt idx="74">
                  <c:v>107</c:v>
                </c:pt>
                <c:pt idx="75">
                  <c:v>118</c:v>
                </c:pt>
                <c:pt idx="76">
                  <c:v>1224</c:v>
                </c:pt>
                <c:pt idx="77">
                  <c:v>285</c:v>
                </c:pt>
                <c:pt idx="78">
                  <c:v>-20</c:v>
                </c:pt>
                <c:pt idx="79">
                  <c:v>367</c:v>
                </c:pt>
                <c:pt idx="80">
                  <c:v>262</c:v>
                </c:pt>
                <c:pt idx="81">
                  <c:v>439</c:v>
                </c:pt>
                <c:pt idx="82">
                  <c:v>636</c:v>
                </c:pt>
                <c:pt idx="83">
                  <c:v>1484</c:v>
                </c:pt>
                <c:pt idx="84">
                  <c:v>576</c:v>
                </c:pt>
                <c:pt idx="85">
                  <c:v>386</c:v>
                </c:pt>
                <c:pt idx="86">
                  <c:v>37</c:v>
                </c:pt>
                <c:pt idx="87">
                  <c:v>1657</c:v>
                </c:pt>
                <c:pt idx="88">
                  <c:v>1397</c:v>
                </c:pt>
                <c:pt idx="89">
                  <c:v>540</c:v>
                </c:pt>
                <c:pt idx="90">
                  <c:v>1603</c:v>
                </c:pt>
                <c:pt idx="91">
                  <c:v>1044</c:v>
                </c:pt>
                <c:pt idx="92">
                  <c:v>902</c:v>
                </c:pt>
                <c:pt idx="93">
                  <c:v>-106</c:v>
                </c:pt>
                <c:pt idx="94">
                  <c:v>1150</c:v>
                </c:pt>
                <c:pt idx="95">
                  <c:v>349</c:v>
                </c:pt>
                <c:pt idx="96">
                  <c:v>-49</c:v>
                </c:pt>
                <c:pt idx="97">
                  <c:v>72</c:v>
                </c:pt>
                <c:pt idx="98">
                  <c:v>445</c:v>
                </c:pt>
                <c:pt idx="99">
                  <c:v>60</c:v>
                </c:pt>
                <c:pt idx="100">
                  <c:v>1693</c:v>
                </c:pt>
                <c:pt idx="101">
                  <c:v>1332</c:v>
                </c:pt>
                <c:pt idx="102">
                  <c:v>98</c:v>
                </c:pt>
                <c:pt idx="103">
                  <c:v>885</c:v>
                </c:pt>
                <c:pt idx="104">
                  <c:v>1625</c:v>
                </c:pt>
                <c:pt idx="105">
                  <c:v>1706</c:v>
                </c:pt>
                <c:pt idx="106">
                  <c:v>1173</c:v>
                </c:pt>
                <c:pt idx="107">
                  <c:v>291</c:v>
                </c:pt>
                <c:pt idx="108">
                  <c:v>1119</c:v>
                </c:pt>
                <c:pt idx="109">
                  <c:v>1373</c:v>
                </c:pt>
                <c:pt idx="110">
                  <c:v>1727</c:v>
                </c:pt>
                <c:pt idx="111">
                  <c:v>573</c:v>
                </c:pt>
                <c:pt idx="112">
                  <c:v>1432</c:v>
                </c:pt>
                <c:pt idx="113">
                  <c:v>1377</c:v>
                </c:pt>
                <c:pt idx="114">
                  <c:v>1359</c:v>
                </c:pt>
                <c:pt idx="115">
                  <c:v>876</c:v>
                </c:pt>
                <c:pt idx="116">
                  <c:v>684</c:v>
                </c:pt>
                <c:pt idx="117">
                  <c:v>730</c:v>
                </c:pt>
                <c:pt idx="118">
                  <c:v>911</c:v>
                </c:pt>
                <c:pt idx="119">
                  <c:v>1589</c:v>
                </c:pt>
                <c:pt idx="120">
                  <c:v>1765</c:v>
                </c:pt>
                <c:pt idx="121">
                  <c:v>1776</c:v>
                </c:pt>
                <c:pt idx="122">
                  <c:v>1529</c:v>
                </c:pt>
                <c:pt idx="123">
                  <c:v>1460</c:v>
                </c:pt>
                <c:pt idx="124">
                  <c:v>903</c:v>
                </c:pt>
                <c:pt idx="125">
                  <c:v>620</c:v>
                </c:pt>
                <c:pt idx="126">
                  <c:v>1188</c:v>
                </c:pt>
                <c:pt idx="127">
                  <c:v>846</c:v>
                </c:pt>
                <c:pt idx="128">
                  <c:v>1722</c:v>
                </c:pt>
                <c:pt idx="129">
                  <c:v>298</c:v>
                </c:pt>
                <c:pt idx="130">
                  <c:v>-144</c:v>
                </c:pt>
                <c:pt idx="131">
                  <c:v>901</c:v>
                </c:pt>
                <c:pt idx="132">
                  <c:v>1572</c:v>
                </c:pt>
                <c:pt idx="133">
                  <c:v>427</c:v>
                </c:pt>
                <c:pt idx="134">
                  <c:v>891</c:v>
                </c:pt>
                <c:pt idx="135">
                  <c:v>724</c:v>
                </c:pt>
                <c:pt idx="136">
                  <c:v>-166</c:v>
                </c:pt>
                <c:pt idx="137">
                  <c:v>898</c:v>
                </c:pt>
                <c:pt idx="138">
                  <c:v>1426</c:v>
                </c:pt>
                <c:pt idx="139">
                  <c:v>1225</c:v>
                </c:pt>
                <c:pt idx="140">
                  <c:v>1080</c:v>
                </c:pt>
                <c:pt idx="141">
                  <c:v>748</c:v>
                </c:pt>
                <c:pt idx="142">
                  <c:v>569</c:v>
                </c:pt>
                <c:pt idx="143">
                  <c:v>-203</c:v>
                </c:pt>
                <c:pt idx="144">
                  <c:v>1723</c:v>
                </c:pt>
                <c:pt idx="145">
                  <c:v>912</c:v>
                </c:pt>
                <c:pt idx="146">
                  <c:v>1202</c:v>
                </c:pt>
                <c:pt idx="147">
                  <c:v>1444</c:v>
                </c:pt>
                <c:pt idx="148">
                  <c:v>965</c:v>
                </c:pt>
                <c:pt idx="149">
                  <c:v>1590</c:v>
                </c:pt>
                <c:pt idx="150">
                  <c:v>-37</c:v>
                </c:pt>
                <c:pt idx="151">
                  <c:v>1175</c:v>
                </c:pt>
                <c:pt idx="152">
                  <c:v>1375</c:v>
                </c:pt>
                <c:pt idx="153">
                  <c:v>1707</c:v>
                </c:pt>
                <c:pt idx="154">
                  <c:v>708</c:v>
                </c:pt>
                <c:pt idx="155">
                  <c:v>1016</c:v>
                </c:pt>
                <c:pt idx="156">
                  <c:v>1315</c:v>
                </c:pt>
                <c:pt idx="157">
                  <c:v>-119</c:v>
                </c:pt>
                <c:pt idx="158">
                  <c:v>899</c:v>
                </c:pt>
                <c:pt idx="159">
                  <c:v>315</c:v>
                </c:pt>
                <c:pt idx="160">
                  <c:v>212</c:v>
                </c:pt>
                <c:pt idx="161">
                  <c:v>908</c:v>
                </c:pt>
                <c:pt idx="162">
                  <c:v>1350</c:v>
                </c:pt>
                <c:pt idx="163">
                  <c:v>1242</c:v>
                </c:pt>
                <c:pt idx="164">
                  <c:v>680</c:v>
                </c:pt>
                <c:pt idx="165">
                  <c:v>1116</c:v>
                </c:pt>
                <c:pt idx="166">
                  <c:v>861</c:v>
                </c:pt>
                <c:pt idx="167">
                  <c:v>1385</c:v>
                </c:pt>
                <c:pt idx="168">
                  <c:v>461</c:v>
                </c:pt>
                <c:pt idx="169">
                  <c:v>474</c:v>
                </c:pt>
                <c:pt idx="170">
                  <c:v>292</c:v>
                </c:pt>
                <c:pt idx="171">
                  <c:v>389</c:v>
                </c:pt>
                <c:pt idx="172">
                  <c:v>641</c:v>
                </c:pt>
                <c:pt idx="173">
                  <c:v>514</c:v>
                </c:pt>
                <c:pt idx="174">
                  <c:v>1676</c:v>
                </c:pt>
                <c:pt idx="175">
                  <c:v>1467</c:v>
                </c:pt>
                <c:pt idx="176">
                  <c:v>167</c:v>
                </c:pt>
                <c:pt idx="177">
                  <c:v>1029</c:v>
                </c:pt>
                <c:pt idx="178">
                  <c:v>1007</c:v>
                </c:pt>
                <c:pt idx="179">
                  <c:v>209</c:v>
                </c:pt>
                <c:pt idx="180">
                  <c:v>-160</c:v>
                </c:pt>
                <c:pt idx="181">
                  <c:v>-175</c:v>
                </c:pt>
                <c:pt idx="182">
                  <c:v>53</c:v>
                </c:pt>
                <c:pt idx="183">
                  <c:v>145</c:v>
                </c:pt>
                <c:pt idx="184">
                  <c:v>603</c:v>
                </c:pt>
                <c:pt idx="185">
                  <c:v>1045</c:v>
                </c:pt>
                <c:pt idx="186">
                  <c:v>759</c:v>
                </c:pt>
                <c:pt idx="187">
                  <c:v>1633</c:v>
                </c:pt>
                <c:pt idx="188">
                  <c:v>1539</c:v>
                </c:pt>
                <c:pt idx="189">
                  <c:v>453</c:v>
                </c:pt>
                <c:pt idx="190">
                  <c:v>948</c:v>
                </c:pt>
                <c:pt idx="191">
                  <c:v>637</c:v>
                </c:pt>
                <c:pt idx="192">
                  <c:v>1881</c:v>
                </c:pt>
                <c:pt idx="193">
                  <c:v>339</c:v>
                </c:pt>
                <c:pt idx="194">
                  <c:v>1510</c:v>
                </c:pt>
                <c:pt idx="195">
                  <c:v>864</c:v>
                </c:pt>
                <c:pt idx="196">
                  <c:v>1656</c:v>
                </c:pt>
                <c:pt idx="197">
                  <c:v>407</c:v>
                </c:pt>
                <c:pt idx="198">
                  <c:v>269</c:v>
                </c:pt>
                <c:pt idx="199">
                  <c:v>-337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D1-5948-86FA-078E6E1E2B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5594111"/>
        <c:axId val="1714697343"/>
      </c:lineChart>
      <c:catAx>
        <c:axId val="1525594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4697343"/>
        <c:crosses val="autoZero"/>
        <c:auto val="1"/>
        <c:lblAlgn val="ctr"/>
        <c:lblOffset val="100"/>
        <c:noMultiLvlLbl val="0"/>
      </c:catAx>
      <c:valAx>
        <c:axId val="1714697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5594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effectLst/>
              </a:rPr>
              <a:t>Smooth Growth Trends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Smoothed_Growth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Sheet1!$E$2:$E$201</c:f>
              <c:numCache>
                <c:formatCode>0</c:formatCode>
                <c:ptCount val="200"/>
                <c:pt idx="0">
                  <c:v>821.33333333333337</c:v>
                </c:pt>
                <c:pt idx="1">
                  <c:v>835.66666666666663</c:v>
                </c:pt>
                <c:pt idx="2">
                  <c:v>674</c:v>
                </c:pt>
                <c:pt idx="3">
                  <c:v>963.33333333333337</c:v>
                </c:pt>
                <c:pt idx="4">
                  <c:v>662</c:v>
                </c:pt>
                <c:pt idx="5">
                  <c:v>821</c:v>
                </c:pt>
                <c:pt idx="6">
                  <c:v>691</c:v>
                </c:pt>
                <c:pt idx="7">
                  <c:v>1089.6666666666667</c:v>
                </c:pt>
                <c:pt idx="8">
                  <c:v>1190</c:v>
                </c:pt>
                <c:pt idx="9">
                  <c:v>1004.6666666666666</c:v>
                </c:pt>
                <c:pt idx="10">
                  <c:v>753.66666666666663</c:v>
                </c:pt>
                <c:pt idx="11">
                  <c:v>878.66666666666663</c:v>
                </c:pt>
                <c:pt idx="12">
                  <c:v>1044.6666666666667</c:v>
                </c:pt>
                <c:pt idx="13">
                  <c:v>794</c:v>
                </c:pt>
                <c:pt idx="14">
                  <c:v>164.33333333333334</c:v>
                </c:pt>
                <c:pt idx="15">
                  <c:v>-92.666666666666671</c:v>
                </c:pt>
                <c:pt idx="16">
                  <c:v>400.66666666666669</c:v>
                </c:pt>
                <c:pt idx="17">
                  <c:v>504</c:v>
                </c:pt>
                <c:pt idx="18">
                  <c:v>1040</c:v>
                </c:pt>
                <c:pt idx="19">
                  <c:v>690.66666666666663</c:v>
                </c:pt>
                <c:pt idx="20">
                  <c:v>842.66666666666663</c:v>
                </c:pt>
                <c:pt idx="21">
                  <c:v>456.66666666666669</c:v>
                </c:pt>
                <c:pt idx="22">
                  <c:v>968.66666666666663</c:v>
                </c:pt>
                <c:pt idx="23">
                  <c:v>731.66666666666663</c:v>
                </c:pt>
                <c:pt idx="24">
                  <c:v>703.33333333333337</c:v>
                </c:pt>
                <c:pt idx="25">
                  <c:v>141.66666666666666</c:v>
                </c:pt>
                <c:pt idx="26">
                  <c:v>249.33333333333334</c:v>
                </c:pt>
                <c:pt idx="27">
                  <c:v>426.66666666666669</c:v>
                </c:pt>
                <c:pt idx="28">
                  <c:v>812</c:v>
                </c:pt>
                <c:pt idx="29">
                  <c:v>864.66666666666663</c:v>
                </c:pt>
                <c:pt idx="30">
                  <c:v>724.66666666666663</c:v>
                </c:pt>
                <c:pt idx="31">
                  <c:v>180</c:v>
                </c:pt>
                <c:pt idx="32">
                  <c:v>572.66666666666663</c:v>
                </c:pt>
                <c:pt idx="33">
                  <c:v>550.66666666666663</c:v>
                </c:pt>
                <c:pt idx="34">
                  <c:v>774</c:v>
                </c:pt>
                <c:pt idx="35">
                  <c:v>210</c:v>
                </c:pt>
                <c:pt idx="36">
                  <c:v>161</c:v>
                </c:pt>
                <c:pt idx="37">
                  <c:v>150</c:v>
                </c:pt>
                <c:pt idx="38">
                  <c:v>657.33333333333337</c:v>
                </c:pt>
                <c:pt idx="39">
                  <c:v>992.66666666666663</c:v>
                </c:pt>
                <c:pt idx="40">
                  <c:v>898.66666666666663</c:v>
                </c:pt>
                <c:pt idx="41">
                  <c:v>801</c:v>
                </c:pt>
                <c:pt idx="42">
                  <c:v>381.66666666666669</c:v>
                </c:pt>
                <c:pt idx="43">
                  <c:v>722</c:v>
                </c:pt>
                <c:pt idx="44">
                  <c:v>933</c:v>
                </c:pt>
                <c:pt idx="45">
                  <c:v>971</c:v>
                </c:pt>
                <c:pt idx="46">
                  <c:v>1154.6666666666667</c:v>
                </c:pt>
                <c:pt idx="47">
                  <c:v>612</c:v>
                </c:pt>
                <c:pt idx="48">
                  <c:v>958.33333333333337</c:v>
                </c:pt>
                <c:pt idx="49">
                  <c:v>431.33333333333331</c:v>
                </c:pt>
                <c:pt idx="50">
                  <c:v>834.66666666666663</c:v>
                </c:pt>
                <c:pt idx="51">
                  <c:v>773.33333333333337</c:v>
                </c:pt>
                <c:pt idx="52">
                  <c:v>829.66666666666663</c:v>
                </c:pt>
                <c:pt idx="53">
                  <c:v>525</c:v>
                </c:pt>
                <c:pt idx="54">
                  <c:v>700.66666666666663</c:v>
                </c:pt>
                <c:pt idx="55">
                  <c:v>1111</c:v>
                </c:pt>
                <c:pt idx="56">
                  <c:v>1086.6666666666667</c:v>
                </c:pt>
                <c:pt idx="57">
                  <c:v>929.33333333333337</c:v>
                </c:pt>
                <c:pt idx="58">
                  <c:v>579</c:v>
                </c:pt>
                <c:pt idx="59">
                  <c:v>525</c:v>
                </c:pt>
                <c:pt idx="60">
                  <c:v>533.33333333333337</c:v>
                </c:pt>
                <c:pt idx="61">
                  <c:v>397</c:v>
                </c:pt>
                <c:pt idx="62">
                  <c:v>586.33333333333337</c:v>
                </c:pt>
                <c:pt idx="63">
                  <c:v>205</c:v>
                </c:pt>
                <c:pt idx="64">
                  <c:v>775.66666666666663</c:v>
                </c:pt>
                <c:pt idx="65">
                  <c:v>889</c:v>
                </c:pt>
                <c:pt idx="66">
                  <c:v>1237</c:v>
                </c:pt>
                <c:pt idx="67">
                  <c:v>617.33333333333337</c:v>
                </c:pt>
                <c:pt idx="68">
                  <c:v>481.66666666666669</c:v>
                </c:pt>
                <c:pt idx="69">
                  <c:v>708.66666666666663</c:v>
                </c:pt>
                <c:pt idx="70">
                  <c:v>1392.3333333333333</c:v>
                </c:pt>
                <c:pt idx="71">
                  <c:v>1746.6666666666667</c:v>
                </c:pt>
                <c:pt idx="72">
                  <c:v>1213.6666666666667</c:v>
                </c:pt>
                <c:pt idx="73">
                  <c:v>629</c:v>
                </c:pt>
                <c:pt idx="74">
                  <c:v>483</c:v>
                </c:pt>
                <c:pt idx="75">
                  <c:v>542.33333333333337</c:v>
                </c:pt>
                <c:pt idx="76">
                  <c:v>496.33333333333331</c:v>
                </c:pt>
                <c:pt idx="77">
                  <c:v>210.66666666666666</c:v>
                </c:pt>
                <c:pt idx="78">
                  <c:v>203</c:v>
                </c:pt>
                <c:pt idx="79">
                  <c:v>356</c:v>
                </c:pt>
                <c:pt idx="80">
                  <c:v>445.66666666666669</c:v>
                </c:pt>
                <c:pt idx="81">
                  <c:v>853</c:v>
                </c:pt>
                <c:pt idx="82">
                  <c:v>898.66666666666663</c:v>
                </c:pt>
                <c:pt idx="83">
                  <c:v>815.33333333333337</c:v>
                </c:pt>
                <c:pt idx="84">
                  <c:v>333</c:v>
                </c:pt>
                <c:pt idx="85">
                  <c:v>693.33333333333337</c:v>
                </c:pt>
                <c:pt idx="86">
                  <c:v>1030.3333333333333</c:v>
                </c:pt>
                <c:pt idx="87">
                  <c:v>1198</c:v>
                </c:pt>
                <c:pt idx="88">
                  <c:v>1180</c:v>
                </c:pt>
                <c:pt idx="89">
                  <c:v>1062.3333333333333</c:v>
                </c:pt>
                <c:pt idx="90">
                  <c:v>1183</c:v>
                </c:pt>
                <c:pt idx="91">
                  <c:v>613.33333333333337</c:v>
                </c:pt>
                <c:pt idx="92">
                  <c:v>648.66666666666663</c:v>
                </c:pt>
                <c:pt idx="93">
                  <c:v>464.33333333333331</c:v>
                </c:pt>
                <c:pt idx="94">
                  <c:v>483.33333333333331</c:v>
                </c:pt>
                <c:pt idx="95">
                  <c:v>124</c:v>
                </c:pt>
                <c:pt idx="96">
                  <c:v>156</c:v>
                </c:pt>
                <c:pt idx="97">
                  <c:v>192.33333333333334</c:v>
                </c:pt>
                <c:pt idx="98">
                  <c:v>732.66666666666663</c:v>
                </c:pt>
                <c:pt idx="99">
                  <c:v>1028.3333333333333</c:v>
                </c:pt>
                <c:pt idx="100">
                  <c:v>1041</c:v>
                </c:pt>
                <c:pt idx="101">
                  <c:v>771.66666666666663</c:v>
                </c:pt>
                <c:pt idx="102">
                  <c:v>869.33333333333337</c:v>
                </c:pt>
                <c:pt idx="103">
                  <c:v>1405.3333333333333</c:v>
                </c:pt>
                <c:pt idx="104">
                  <c:v>1501.3333333333333</c:v>
                </c:pt>
                <c:pt idx="105">
                  <c:v>1056.6666666666667</c:v>
                </c:pt>
                <c:pt idx="106">
                  <c:v>861</c:v>
                </c:pt>
                <c:pt idx="107">
                  <c:v>927.66666666666663</c:v>
                </c:pt>
                <c:pt idx="108">
                  <c:v>1406.3333333333333</c:v>
                </c:pt>
                <c:pt idx="109">
                  <c:v>1224.3333333333333</c:v>
                </c:pt>
                <c:pt idx="110">
                  <c:v>1244</c:v>
                </c:pt>
                <c:pt idx="111">
                  <c:v>1127.3333333333333</c:v>
                </c:pt>
                <c:pt idx="112">
                  <c:v>1389.3333333333333</c:v>
                </c:pt>
                <c:pt idx="113">
                  <c:v>1204</c:v>
                </c:pt>
                <c:pt idx="114">
                  <c:v>973</c:v>
                </c:pt>
                <c:pt idx="115">
                  <c:v>763.33333333333337</c:v>
                </c:pt>
                <c:pt idx="116">
                  <c:v>775</c:v>
                </c:pt>
                <c:pt idx="117">
                  <c:v>1076.6666666666667</c:v>
                </c:pt>
                <c:pt idx="118">
                  <c:v>1421.6666666666667</c:v>
                </c:pt>
                <c:pt idx="119">
                  <c:v>1710</c:v>
                </c:pt>
                <c:pt idx="120">
                  <c:v>1690</c:v>
                </c:pt>
                <c:pt idx="121">
                  <c:v>1588.3333333333333</c:v>
                </c:pt>
                <c:pt idx="122">
                  <c:v>1297.3333333333333</c:v>
                </c:pt>
                <c:pt idx="123">
                  <c:v>994.33333333333337</c:v>
                </c:pt>
                <c:pt idx="124">
                  <c:v>903.66666666666663</c:v>
                </c:pt>
                <c:pt idx="125">
                  <c:v>884.66666666666663</c:v>
                </c:pt>
                <c:pt idx="126">
                  <c:v>1252</c:v>
                </c:pt>
                <c:pt idx="127">
                  <c:v>955.33333333333337</c:v>
                </c:pt>
                <c:pt idx="128">
                  <c:v>625.33333333333337</c:v>
                </c:pt>
                <c:pt idx="129">
                  <c:v>351.66666666666669</c:v>
                </c:pt>
                <c:pt idx="130">
                  <c:v>776.33333333333337</c:v>
                </c:pt>
                <c:pt idx="131">
                  <c:v>966.66666666666663</c:v>
                </c:pt>
                <c:pt idx="132">
                  <c:v>963.33333333333337</c:v>
                </c:pt>
                <c:pt idx="133">
                  <c:v>680.66666666666663</c:v>
                </c:pt>
                <c:pt idx="134">
                  <c:v>483</c:v>
                </c:pt>
                <c:pt idx="135">
                  <c:v>485.33333333333331</c:v>
                </c:pt>
                <c:pt idx="136">
                  <c:v>719.33333333333337</c:v>
                </c:pt>
                <c:pt idx="137">
                  <c:v>1183</c:v>
                </c:pt>
                <c:pt idx="138">
                  <c:v>1243.6666666666667</c:v>
                </c:pt>
                <c:pt idx="139">
                  <c:v>1017.6666666666666</c:v>
                </c:pt>
                <c:pt idx="140">
                  <c:v>799</c:v>
                </c:pt>
                <c:pt idx="141">
                  <c:v>371.33333333333331</c:v>
                </c:pt>
                <c:pt idx="142">
                  <c:v>696.33333333333337</c:v>
                </c:pt>
                <c:pt idx="143">
                  <c:v>810.66666666666663</c:v>
                </c:pt>
                <c:pt idx="144">
                  <c:v>1279</c:v>
                </c:pt>
                <c:pt idx="145">
                  <c:v>1186</c:v>
                </c:pt>
                <c:pt idx="146">
                  <c:v>1203.6666666666667</c:v>
                </c:pt>
                <c:pt idx="147">
                  <c:v>1333</c:v>
                </c:pt>
                <c:pt idx="148">
                  <c:v>839.33333333333337</c:v>
                </c:pt>
                <c:pt idx="149">
                  <c:v>909.33333333333337</c:v>
                </c:pt>
                <c:pt idx="150">
                  <c:v>837.66666666666663</c:v>
                </c:pt>
                <c:pt idx="151">
                  <c:v>1419</c:v>
                </c:pt>
                <c:pt idx="152">
                  <c:v>1263.3333333333333</c:v>
                </c:pt>
                <c:pt idx="153">
                  <c:v>1143.6666666666667</c:v>
                </c:pt>
                <c:pt idx="154">
                  <c:v>1013</c:v>
                </c:pt>
                <c:pt idx="155">
                  <c:v>737.33333333333337</c:v>
                </c:pt>
                <c:pt idx="156">
                  <c:v>698.33333333333337</c:v>
                </c:pt>
                <c:pt idx="157">
                  <c:v>365</c:v>
                </c:pt>
                <c:pt idx="158">
                  <c:v>475.33333333333331</c:v>
                </c:pt>
                <c:pt idx="159">
                  <c:v>478.33333333333331</c:v>
                </c:pt>
                <c:pt idx="160">
                  <c:v>823.33333333333337</c:v>
                </c:pt>
                <c:pt idx="161">
                  <c:v>1166.6666666666667</c:v>
                </c:pt>
                <c:pt idx="162">
                  <c:v>1090.6666666666667</c:v>
                </c:pt>
                <c:pt idx="163">
                  <c:v>1012.6666666666666</c:v>
                </c:pt>
                <c:pt idx="164">
                  <c:v>885.66666666666663</c:v>
                </c:pt>
                <c:pt idx="165">
                  <c:v>1120.6666666666667</c:v>
                </c:pt>
                <c:pt idx="166">
                  <c:v>902.33333333333337</c:v>
                </c:pt>
                <c:pt idx="167">
                  <c:v>773.33333333333337</c:v>
                </c:pt>
                <c:pt idx="168">
                  <c:v>409</c:v>
                </c:pt>
                <c:pt idx="169">
                  <c:v>385</c:v>
                </c:pt>
                <c:pt idx="170">
                  <c:v>440.66666666666669</c:v>
                </c:pt>
                <c:pt idx="171">
                  <c:v>514.66666666666663</c:v>
                </c:pt>
                <c:pt idx="172">
                  <c:v>943.66666666666663</c:v>
                </c:pt>
                <c:pt idx="173">
                  <c:v>1219</c:v>
                </c:pt>
                <c:pt idx="174">
                  <c:v>1103.3333333333333</c:v>
                </c:pt>
                <c:pt idx="175">
                  <c:v>887.66666666666663</c:v>
                </c:pt>
                <c:pt idx="176">
                  <c:v>734.33333333333337</c:v>
                </c:pt>
                <c:pt idx="177">
                  <c:v>748.33333333333337</c:v>
                </c:pt>
                <c:pt idx="178">
                  <c:v>352</c:v>
                </c:pt>
                <c:pt idx="179">
                  <c:v>-42</c:v>
                </c:pt>
                <c:pt idx="180">
                  <c:v>-94</c:v>
                </c:pt>
                <c:pt idx="181">
                  <c:v>7.666666666666667</c:v>
                </c:pt>
                <c:pt idx="182">
                  <c:v>267</c:v>
                </c:pt>
                <c:pt idx="183">
                  <c:v>597.66666666666663</c:v>
                </c:pt>
                <c:pt idx="184">
                  <c:v>802.33333333333337</c:v>
                </c:pt>
                <c:pt idx="185">
                  <c:v>1145.6666666666667</c:v>
                </c:pt>
                <c:pt idx="186">
                  <c:v>1310.3333333333333</c:v>
                </c:pt>
                <c:pt idx="187">
                  <c:v>1208.3333333333333</c:v>
                </c:pt>
                <c:pt idx="188">
                  <c:v>980</c:v>
                </c:pt>
                <c:pt idx="189">
                  <c:v>679.33333333333337</c:v>
                </c:pt>
                <c:pt idx="190">
                  <c:v>1155.3333333333333</c:v>
                </c:pt>
                <c:pt idx="191">
                  <c:v>952.33333333333337</c:v>
                </c:pt>
                <c:pt idx="192">
                  <c:v>1243.3333333333333</c:v>
                </c:pt>
                <c:pt idx="193">
                  <c:v>904.33333333333337</c:v>
                </c:pt>
                <c:pt idx="194">
                  <c:v>1343.3333333333333</c:v>
                </c:pt>
                <c:pt idx="195">
                  <c:v>975.66666666666663</c:v>
                </c:pt>
                <c:pt idx="196">
                  <c:v>777.33333333333337</c:v>
                </c:pt>
                <c:pt idx="197">
                  <c:v>113</c:v>
                </c:pt>
                <c:pt idx="198">
                  <c:v>-34</c:v>
                </c:pt>
                <c:pt idx="199">
                  <c:v>-337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D9-4E46-BF2D-5C301DA13B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03921407"/>
        <c:axId val="1758355775"/>
      </c:lineChart>
      <c:catAx>
        <c:axId val="17039214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8355775"/>
        <c:crosses val="autoZero"/>
        <c:auto val="1"/>
        <c:lblAlgn val="ctr"/>
        <c:lblOffset val="100"/>
        <c:noMultiLvlLbl val="0"/>
      </c:catAx>
      <c:valAx>
        <c:axId val="1758355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3921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effectLst/>
              </a:rPr>
              <a:t>Ad Spend vs. Follower Growth 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Sheet1!$I$1</c:f>
              <c:strCache>
                <c:ptCount val="1"/>
                <c:pt idx="0">
                  <c:v>Ad_Spend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Sheet1!$F$2:$F$201</c:f>
              <c:numCache>
                <c:formatCode>0</c:formatCode>
                <c:ptCount val="200"/>
                <c:pt idx="0">
                  <c:v>1047</c:v>
                </c:pt>
                <c:pt idx="1">
                  <c:v>1002</c:v>
                </c:pt>
                <c:pt idx="2">
                  <c:v>415</c:v>
                </c:pt>
                <c:pt idx="3">
                  <c:v>1090</c:v>
                </c:pt>
                <c:pt idx="4">
                  <c:v>517</c:v>
                </c:pt>
                <c:pt idx="5">
                  <c:v>1283</c:v>
                </c:pt>
                <c:pt idx="6">
                  <c:v>186</c:v>
                </c:pt>
                <c:pt idx="7">
                  <c:v>994</c:v>
                </c:pt>
                <c:pt idx="8">
                  <c:v>893</c:v>
                </c:pt>
                <c:pt idx="9">
                  <c:v>1382</c:v>
                </c:pt>
                <c:pt idx="10">
                  <c:v>1295</c:v>
                </c:pt>
                <c:pt idx="11">
                  <c:v>337</c:v>
                </c:pt>
                <c:pt idx="12">
                  <c:v>629</c:v>
                </c:pt>
                <c:pt idx="13">
                  <c:v>1670</c:v>
                </c:pt>
                <c:pt idx="14">
                  <c:v>835</c:v>
                </c:pt>
                <c:pt idx="15">
                  <c:v>-123</c:v>
                </c:pt>
                <c:pt idx="16">
                  <c:v>-219</c:v>
                </c:pt>
                <c:pt idx="17">
                  <c:v>64</c:v>
                </c:pt>
                <c:pt idx="18">
                  <c:v>1357</c:v>
                </c:pt>
                <c:pt idx="19">
                  <c:v>91</c:v>
                </c:pt>
                <c:pt idx="20">
                  <c:v>1672</c:v>
                </c:pt>
                <c:pt idx="21">
                  <c:v>309</c:v>
                </c:pt>
                <c:pt idx="22">
                  <c:v>547</c:v>
                </c:pt>
                <c:pt idx="23">
                  <c:v>514</c:v>
                </c:pt>
                <c:pt idx="24">
                  <c:v>1845</c:v>
                </c:pt>
                <c:pt idx="25">
                  <c:v>-164</c:v>
                </c:pt>
                <c:pt idx="26">
                  <c:v>429</c:v>
                </c:pt>
                <c:pt idx="27">
                  <c:v>160</c:v>
                </c:pt>
                <c:pt idx="28">
                  <c:v>159</c:v>
                </c:pt>
                <c:pt idx="29">
                  <c:v>961</c:v>
                </c:pt>
                <c:pt idx="30">
                  <c:v>1316</c:v>
                </c:pt>
                <c:pt idx="31">
                  <c:v>317</c:v>
                </c:pt>
                <c:pt idx="32">
                  <c:v>541</c:v>
                </c:pt>
                <c:pt idx="33">
                  <c:v>-318</c:v>
                </c:pt>
                <c:pt idx="34">
                  <c:v>1495</c:v>
                </c:pt>
                <c:pt idx="35">
                  <c:v>475</c:v>
                </c:pt>
                <c:pt idx="36">
                  <c:v>352</c:v>
                </c:pt>
                <c:pt idx="37">
                  <c:v>-197</c:v>
                </c:pt>
                <c:pt idx="38">
                  <c:v>328</c:v>
                </c:pt>
                <c:pt idx="39">
                  <c:v>319</c:v>
                </c:pt>
                <c:pt idx="40">
                  <c:v>1325</c:v>
                </c:pt>
                <c:pt idx="41">
                  <c:v>1334</c:v>
                </c:pt>
                <c:pt idx="42">
                  <c:v>37</c:v>
                </c:pt>
                <c:pt idx="43">
                  <c:v>1032</c:v>
                </c:pt>
                <c:pt idx="44">
                  <c:v>76</c:v>
                </c:pt>
                <c:pt idx="45">
                  <c:v>1058</c:v>
                </c:pt>
                <c:pt idx="46">
                  <c:v>1665</c:v>
                </c:pt>
                <c:pt idx="47">
                  <c:v>190</c:v>
                </c:pt>
                <c:pt idx="48">
                  <c:v>1609</c:v>
                </c:pt>
                <c:pt idx="49">
                  <c:v>37</c:v>
                </c:pt>
                <c:pt idx="50">
                  <c:v>1229</c:v>
                </c:pt>
                <c:pt idx="51">
                  <c:v>28</c:v>
                </c:pt>
                <c:pt idx="52">
                  <c:v>1247</c:v>
                </c:pt>
                <c:pt idx="53">
                  <c:v>1045</c:v>
                </c:pt>
                <c:pt idx="54">
                  <c:v>197</c:v>
                </c:pt>
                <c:pt idx="55">
                  <c:v>333</c:v>
                </c:pt>
                <c:pt idx="56">
                  <c:v>1572</c:v>
                </c:pt>
                <c:pt idx="57">
                  <c:v>1428</c:v>
                </c:pt>
                <c:pt idx="58">
                  <c:v>260</c:v>
                </c:pt>
                <c:pt idx="59">
                  <c:v>1100</c:v>
                </c:pt>
                <c:pt idx="60">
                  <c:v>377</c:v>
                </c:pt>
                <c:pt idx="61">
                  <c:v>98</c:v>
                </c:pt>
                <c:pt idx="62">
                  <c:v>1125</c:v>
                </c:pt>
                <c:pt idx="63">
                  <c:v>-32</c:v>
                </c:pt>
                <c:pt idx="64">
                  <c:v>666</c:v>
                </c:pt>
                <c:pt idx="65">
                  <c:v>-19</c:v>
                </c:pt>
                <c:pt idx="66">
                  <c:v>1680</c:v>
                </c:pt>
                <c:pt idx="67">
                  <c:v>1006</c:v>
                </c:pt>
                <c:pt idx="68">
                  <c:v>1025</c:v>
                </c:pt>
                <c:pt idx="69">
                  <c:v>-179</c:v>
                </c:pt>
                <c:pt idx="70">
                  <c:v>599</c:v>
                </c:pt>
                <c:pt idx="71">
                  <c:v>1706</c:v>
                </c:pt>
                <c:pt idx="72">
                  <c:v>1872</c:v>
                </c:pt>
                <c:pt idx="73">
                  <c:v>1662</c:v>
                </c:pt>
                <c:pt idx="74">
                  <c:v>107</c:v>
                </c:pt>
                <c:pt idx="75">
                  <c:v>118</c:v>
                </c:pt>
                <c:pt idx="76">
                  <c:v>1224</c:v>
                </c:pt>
                <c:pt idx="77">
                  <c:v>285</c:v>
                </c:pt>
                <c:pt idx="78">
                  <c:v>-20</c:v>
                </c:pt>
                <c:pt idx="79">
                  <c:v>367</c:v>
                </c:pt>
                <c:pt idx="80">
                  <c:v>262</c:v>
                </c:pt>
                <c:pt idx="81">
                  <c:v>439</c:v>
                </c:pt>
                <c:pt idx="82">
                  <c:v>636</c:v>
                </c:pt>
                <c:pt idx="83">
                  <c:v>1484</c:v>
                </c:pt>
                <c:pt idx="84">
                  <c:v>576</c:v>
                </c:pt>
                <c:pt idx="85">
                  <c:v>386</c:v>
                </c:pt>
                <c:pt idx="86">
                  <c:v>37</c:v>
                </c:pt>
                <c:pt idx="87">
                  <c:v>1657</c:v>
                </c:pt>
                <c:pt idx="88">
                  <c:v>1397</c:v>
                </c:pt>
                <c:pt idx="89">
                  <c:v>540</c:v>
                </c:pt>
                <c:pt idx="90">
                  <c:v>1603</c:v>
                </c:pt>
                <c:pt idx="91">
                  <c:v>1044</c:v>
                </c:pt>
                <c:pt idx="92">
                  <c:v>902</c:v>
                </c:pt>
                <c:pt idx="93">
                  <c:v>-106</c:v>
                </c:pt>
                <c:pt idx="94">
                  <c:v>1150</c:v>
                </c:pt>
                <c:pt idx="95">
                  <c:v>349</c:v>
                </c:pt>
                <c:pt idx="96">
                  <c:v>-49</c:v>
                </c:pt>
                <c:pt idx="97">
                  <c:v>72</c:v>
                </c:pt>
                <c:pt idx="98">
                  <c:v>445</c:v>
                </c:pt>
                <c:pt idx="99">
                  <c:v>60</c:v>
                </c:pt>
                <c:pt idx="100">
                  <c:v>1693</c:v>
                </c:pt>
                <c:pt idx="101">
                  <c:v>1332</c:v>
                </c:pt>
                <c:pt idx="102">
                  <c:v>98</c:v>
                </c:pt>
                <c:pt idx="103">
                  <c:v>885</c:v>
                </c:pt>
                <c:pt idx="104">
                  <c:v>1625</c:v>
                </c:pt>
                <c:pt idx="105">
                  <c:v>1706</c:v>
                </c:pt>
                <c:pt idx="106">
                  <c:v>1173</c:v>
                </c:pt>
                <c:pt idx="107">
                  <c:v>291</c:v>
                </c:pt>
                <c:pt idx="108">
                  <c:v>1119</c:v>
                </c:pt>
                <c:pt idx="109">
                  <c:v>1373</c:v>
                </c:pt>
                <c:pt idx="110">
                  <c:v>1727</c:v>
                </c:pt>
                <c:pt idx="111">
                  <c:v>573</c:v>
                </c:pt>
                <c:pt idx="112">
                  <c:v>1432</c:v>
                </c:pt>
                <c:pt idx="113">
                  <c:v>1377</c:v>
                </c:pt>
                <c:pt idx="114">
                  <c:v>1359</c:v>
                </c:pt>
                <c:pt idx="115">
                  <c:v>876</c:v>
                </c:pt>
                <c:pt idx="116">
                  <c:v>684</c:v>
                </c:pt>
                <c:pt idx="117">
                  <c:v>730</c:v>
                </c:pt>
                <c:pt idx="118">
                  <c:v>911</c:v>
                </c:pt>
                <c:pt idx="119">
                  <c:v>1589</c:v>
                </c:pt>
                <c:pt idx="120">
                  <c:v>1765</c:v>
                </c:pt>
                <c:pt idx="121">
                  <c:v>1776</c:v>
                </c:pt>
                <c:pt idx="122">
                  <c:v>1529</c:v>
                </c:pt>
                <c:pt idx="123">
                  <c:v>1460</c:v>
                </c:pt>
                <c:pt idx="124">
                  <c:v>903</c:v>
                </c:pt>
                <c:pt idx="125">
                  <c:v>620</c:v>
                </c:pt>
                <c:pt idx="126">
                  <c:v>1188</c:v>
                </c:pt>
                <c:pt idx="127">
                  <c:v>846</c:v>
                </c:pt>
                <c:pt idx="128">
                  <c:v>1722</c:v>
                </c:pt>
                <c:pt idx="129">
                  <c:v>298</c:v>
                </c:pt>
                <c:pt idx="130">
                  <c:v>-144</c:v>
                </c:pt>
                <c:pt idx="131">
                  <c:v>901</c:v>
                </c:pt>
                <c:pt idx="132">
                  <c:v>1572</c:v>
                </c:pt>
                <c:pt idx="133">
                  <c:v>427</c:v>
                </c:pt>
                <c:pt idx="134">
                  <c:v>891</c:v>
                </c:pt>
                <c:pt idx="135">
                  <c:v>724</c:v>
                </c:pt>
                <c:pt idx="136">
                  <c:v>-166</c:v>
                </c:pt>
                <c:pt idx="137">
                  <c:v>898</c:v>
                </c:pt>
                <c:pt idx="138">
                  <c:v>1426</c:v>
                </c:pt>
                <c:pt idx="139">
                  <c:v>1225</c:v>
                </c:pt>
                <c:pt idx="140">
                  <c:v>1080</c:v>
                </c:pt>
                <c:pt idx="141">
                  <c:v>748</c:v>
                </c:pt>
                <c:pt idx="142">
                  <c:v>569</c:v>
                </c:pt>
                <c:pt idx="143">
                  <c:v>-203</c:v>
                </c:pt>
                <c:pt idx="144">
                  <c:v>1723</c:v>
                </c:pt>
                <c:pt idx="145">
                  <c:v>912</c:v>
                </c:pt>
                <c:pt idx="146">
                  <c:v>1202</c:v>
                </c:pt>
                <c:pt idx="147">
                  <c:v>1444</c:v>
                </c:pt>
                <c:pt idx="148">
                  <c:v>965</c:v>
                </c:pt>
                <c:pt idx="149">
                  <c:v>1590</c:v>
                </c:pt>
                <c:pt idx="150">
                  <c:v>-37</c:v>
                </c:pt>
                <c:pt idx="151">
                  <c:v>1175</c:v>
                </c:pt>
                <c:pt idx="152">
                  <c:v>1375</c:v>
                </c:pt>
                <c:pt idx="153">
                  <c:v>1707</c:v>
                </c:pt>
                <c:pt idx="154">
                  <c:v>708</c:v>
                </c:pt>
                <c:pt idx="155">
                  <c:v>1016</c:v>
                </c:pt>
                <c:pt idx="156">
                  <c:v>1315</c:v>
                </c:pt>
                <c:pt idx="157">
                  <c:v>-119</c:v>
                </c:pt>
                <c:pt idx="158">
                  <c:v>899</c:v>
                </c:pt>
                <c:pt idx="159">
                  <c:v>315</c:v>
                </c:pt>
                <c:pt idx="160">
                  <c:v>212</c:v>
                </c:pt>
                <c:pt idx="161">
                  <c:v>908</c:v>
                </c:pt>
                <c:pt idx="162">
                  <c:v>1350</c:v>
                </c:pt>
                <c:pt idx="163">
                  <c:v>1242</c:v>
                </c:pt>
                <c:pt idx="164">
                  <c:v>680</c:v>
                </c:pt>
                <c:pt idx="165">
                  <c:v>1116</c:v>
                </c:pt>
                <c:pt idx="166">
                  <c:v>861</c:v>
                </c:pt>
                <c:pt idx="167">
                  <c:v>1385</c:v>
                </c:pt>
                <c:pt idx="168">
                  <c:v>461</c:v>
                </c:pt>
                <c:pt idx="169">
                  <c:v>474</c:v>
                </c:pt>
                <c:pt idx="170">
                  <c:v>292</c:v>
                </c:pt>
                <c:pt idx="171">
                  <c:v>389</c:v>
                </c:pt>
                <c:pt idx="172">
                  <c:v>641</c:v>
                </c:pt>
                <c:pt idx="173">
                  <c:v>514</c:v>
                </c:pt>
                <c:pt idx="174">
                  <c:v>1676</c:v>
                </c:pt>
                <c:pt idx="175">
                  <c:v>1467</c:v>
                </c:pt>
                <c:pt idx="176">
                  <c:v>167</c:v>
                </c:pt>
                <c:pt idx="177">
                  <c:v>1029</c:v>
                </c:pt>
                <c:pt idx="178">
                  <c:v>1007</c:v>
                </c:pt>
                <c:pt idx="179">
                  <c:v>209</c:v>
                </c:pt>
                <c:pt idx="180">
                  <c:v>-160</c:v>
                </c:pt>
                <c:pt idx="181">
                  <c:v>-175</c:v>
                </c:pt>
                <c:pt idx="182">
                  <c:v>53</c:v>
                </c:pt>
                <c:pt idx="183">
                  <c:v>145</c:v>
                </c:pt>
                <c:pt idx="184">
                  <c:v>603</c:v>
                </c:pt>
                <c:pt idx="185">
                  <c:v>1045</c:v>
                </c:pt>
                <c:pt idx="186">
                  <c:v>759</c:v>
                </c:pt>
                <c:pt idx="187">
                  <c:v>1633</c:v>
                </c:pt>
                <c:pt idx="188">
                  <c:v>1539</c:v>
                </c:pt>
                <c:pt idx="189">
                  <c:v>453</c:v>
                </c:pt>
                <c:pt idx="190">
                  <c:v>948</c:v>
                </c:pt>
                <c:pt idx="191">
                  <c:v>637</c:v>
                </c:pt>
                <c:pt idx="192">
                  <c:v>1881</c:v>
                </c:pt>
                <c:pt idx="193">
                  <c:v>339</c:v>
                </c:pt>
                <c:pt idx="194">
                  <c:v>1510</c:v>
                </c:pt>
                <c:pt idx="195">
                  <c:v>864</c:v>
                </c:pt>
                <c:pt idx="196">
                  <c:v>1656</c:v>
                </c:pt>
                <c:pt idx="197">
                  <c:v>407</c:v>
                </c:pt>
                <c:pt idx="198">
                  <c:v>269</c:v>
                </c:pt>
                <c:pt idx="199">
                  <c:v>-337</c:v>
                </c:pt>
              </c:numCache>
            </c:numRef>
          </c:xVal>
          <c:yVal>
            <c:numRef>
              <c:f>Sheet1!$I$2:$I$201</c:f>
              <c:numCache>
                <c:formatCode>[$USD]\ #,##0.00</c:formatCode>
                <c:ptCount val="200"/>
                <c:pt idx="0">
                  <c:v>5904</c:v>
                </c:pt>
                <c:pt idx="1">
                  <c:v>9566</c:v>
                </c:pt>
                <c:pt idx="2">
                  <c:v>26752</c:v>
                </c:pt>
                <c:pt idx="3">
                  <c:v>30671</c:v>
                </c:pt>
                <c:pt idx="4">
                  <c:v>9920</c:v>
                </c:pt>
                <c:pt idx="5">
                  <c:v>7924</c:v>
                </c:pt>
                <c:pt idx="6">
                  <c:v>8912</c:v>
                </c:pt>
                <c:pt idx="7">
                  <c:v>21205</c:v>
                </c:pt>
                <c:pt idx="8">
                  <c:v>11329</c:v>
                </c:pt>
                <c:pt idx="9">
                  <c:v>46670</c:v>
                </c:pt>
                <c:pt idx="10">
                  <c:v>22482</c:v>
                </c:pt>
                <c:pt idx="11">
                  <c:v>24313</c:v>
                </c:pt>
                <c:pt idx="12">
                  <c:v>18050</c:v>
                </c:pt>
                <c:pt idx="13">
                  <c:v>30635</c:v>
                </c:pt>
                <c:pt idx="14">
                  <c:v>31280</c:v>
                </c:pt>
                <c:pt idx="15">
                  <c:v>1783</c:v>
                </c:pt>
                <c:pt idx="16">
                  <c:v>9566</c:v>
                </c:pt>
                <c:pt idx="17">
                  <c:v>42307</c:v>
                </c:pt>
                <c:pt idx="18">
                  <c:v>5914</c:v>
                </c:pt>
                <c:pt idx="19">
                  <c:v>30060</c:v>
                </c:pt>
                <c:pt idx="20">
                  <c:v>22728</c:v>
                </c:pt>
                <c:pt idx="21">
                  <c:v>38610</c:v>
                </c:pt>
                <c:pt idx="22">
                  <c:v>2932</c:v>
                </c:pt>
                <c:pt idx="23">
                  <c:v>15071</c:v>
                </c:pt>
                <c:pt idx="24">
                  <c:v>10740</c:v>
                </c:pt>
                <c:pt idx="25">
                  <c:v>43420</c:v>
                </c:pt>
                <c:pt idx="26">
                  <c:v>32393</c:v>
                </c:pt>
                <c:pt idx="27">
                  <c:v>28474</c:v>
                </c:pt>
                <c:pt idx="28">
                  <c:v>17328</c:v>
                </c:pt>
                <c:pt idx="29">
                  <c:v>26067</c:v>
                </c:pt>
                <c:pt idx="30">
                  <c:v>32763</c:v>
                </c:pt>
                <c:pt idx="31">
                  <c:v>26452</c:v>
                </c:pt>
                <c:pt idx="32">
                  <c:v>15353</c:v>
                </c:pt>
                <c:pt idx="33">
                  <c:v>4839</c:v>
                </c:pt>
                <c:pt idx="34">
                  <c:v>39272</c:v>
                </c:pt>
                <c:pt idx="35">
                  <c:v>16804</c:v>
                </c:pt>
                <c:pt idx="36">
                  <c:v>49303</c:v>
                </c:pt>
                <c:pt idx="37">
                  <c:v>26455</c:v>
                </c:pt>
                <c:pt idx="38">
                  <c:v>12384</c:v>
                </c:pt>
                <c:pt idx="39">
                  <c:v>49372</c:v>
                </c:pt>
                <c:pt idx="40">
                  <c:v>47101</c:v>
                </c:pt>
                <c:pt idx="41">
                  <c:v>37903</c:v>
                </c:pt>
                <c:pt idx="42">
                  <c:v>33258</c:v>
                </c:pt>
                <c:pt idx="43">
                  <c:v>6915</c:v>
                </c:pt>
                <c:pt idx="44">
                  <c:v>35501</c:v>
                </c:pt>
                <c:pt idx="45">
                  <c:v>14203</c:v>
                </c:pt>
                <c:pt idx="46">
                  <c:v>22206</c:v>
                </c:pt>
                <c:pt idx="47">
                  <c:v>10283</c:v>
                </c:pt>
                <c:pt idx="48">
                  <c:v>24913</c:v>
                </c:pt>
                <c:pt idx="49">
                  <c:v>26925</c:v>
                </c:pt>
                <c:pt idx="50">
                  <c:v>9942</c:v>
                </c:pt>
                <c:pt idx="51">
                  <c:v>32929</c:v>
                </c:pt>
                <c:pt idx="52">
                  <c:v>37829</c:v>
                </c:pt>
                <c:pt idx="53">
                  <c:v>24384</c:v>
                </c:pt>
                <c:pt idx="54">
                  <c:v>25797</c:v>
                </c:pt>
                <c:pt idx="55">
                  <c:v>12646</c:v>
                </c:pt>
                <c:pt idx="56">
                  <c:v>26663</c:v>
                </c:pt>
                <c:pt idx="57">
                  <c:v>40478</c:v>
                </c:pt>
                <c:pt idx="58">
                  <c:v>15476</c:v>
                </c:pt>
                <c:pt idx="59">
                  <c:v>10217</c:v>
                </c:pt>
                <c:pt idx="60">
                  <c:v>21939</c:v>
                </c:pt>
                <c:pt idx="61">
                  <c:v>47462</c:v>
                </c:pt>
                <c:pt idx="62">
                  <c:v>30270</c:v>
                </c:pt>
                <c:pt idx="63">
                  <c:v>5442</c:v>
                </c:pt>
                <c:pt idx="64">
                  <c:v>1083</c:v>
                </c:pt>
                <c:pt idx="65">
                  <c:v>11901</c:v>
                </c:pt>
                <c:pt idx="66">
                  <c:v>24018</c:v>
                </c:pt>
                <c:pt idx="67">
                  <c:v>38883</c:v>
                </c:pt>
                <c:pt idx="68">
                  <c:v>30575</c:v>
                </c:pt>
                <c:pt idx="69">
                  <c:v>2315</c:v>
                </c:pt>
                <c:pt idx="70">
                  <c:v>12148</c:v>
                </c:pt>
                <c:pt idx="71">
                  <c:v>36851</c:v>
                </c:pt>
                <c:pt idx="72">
                  <c:v>41215</c:v>
                </c:pt>
                <c:pt idx="73">
                  <c:v>43836</c:v>
                </c:pt>
                <c:pt idx="74">
                  <c:v>4509</c:v>
                </c:pt>
                <c:pt idx="75">
                  <c:v>27822</c:v>
                </c:pt>
                <c:pt idx="76">
                  <c:v>36397</c:v>
                </c:pt>
                <c:pt idx="77">
                  <c:v>7285</c:v>
                </c:pt>
                <c:pt idx="78">
                  <c:v>33174</c:v>
                </c:pt>
                <c:pt idx="79">
                  <c:v>6742</c:v>
                </c:pt>
                <c:pt idx="80">
                  <c:v>32478</c:v>
                </c:pt>
                <c:pt idx="81">
                  <c:v>42824</c:v>
                </c:pt>
                <c:pt idx="82">
                  <c:v>21208</c:v>
                </c:pt>
                <c:pt idx="83">
                  <c:v>44321</c:v>
                </c:pt>
                <c:pt idx="84">
                  <c:v>13116</c:v>
                </c:pt>
                <c:pt idx="85">
                  <c:v>30214</c:v>
                </c:pt>
                <c:pt idx="86">
                  <c:v>15827</c:v>
                </c:pt>
                <c:pt idx="87">
                  <c:v>46643</c:v>
                </c:pt>
                <c:pt idx="88">
                  <c:v>36484</c:v>
                </c:pt>
                <c:pt idx="89">
                  <c:v>4996</c:v>
                </c:pt>
                <c:pt idx="90">
                  <c:v>36095</c:v>
                </c:pt>
                <c:pt idx="91">
                  <c:v>16443</c:v>
                </c:pt>
                <c:pt idx="92">
                  <c:v>47812</c:v>
                </c:pt>
                <c:pt idx="93">
                  <c:v>38452</c:v>
                </c:pt>
                <c:pt idx="94">
                  <c:v>30428</c:v>
                </c:pt>
                <c:pt idx="95">
                  <c:v>9269</c:v>
                </c:pt>
                <c:pt idx="96">
                  <c:v>29533</c:v>
                </c:pt>
                <c:pt idx="97">
                  <c:v>39997</c:v>
                </c:pt>
                <c:pt idx="98">
                  <c:v>5391</c:v>
                </c:pt>
                <c:pt idx="99">
                  <c:v>22373</c:v>
                </c:pt>
                <c:pt idx="100">
                  <c:v>1810</c:v>
                </c:pt>
                <c:pt idx="101">
                  <c:v>28498</c:v>
                </c:pt>
                <c:pt idx="102">
                  <c:v>39530</c:v>
                </c:pt>
                <c:pt idx="103">
                  <c:v>37876</c:v>
                </c:pt>
                <c:pt idx="104">
                  <c:v>36103</c:v>
                </c:pt>
                <c:pt idx="105">
                  <c:v>26103</c:v>
                </c:pt>
                <c:pt idx="106">
                  <c:v>3455</c:v>
                </c:pt>
                <c:pt idx="107">
                  <c:v>40888</c:v>
                </c:pt>
                <c:pt idx="108">
                  <c:v>22724</c:v>
                </c:pt>
                <c:pt idx="109">
                  <c:v>18601</c:v>
                </c:pt>
                <c:pt idx="110">
                  <c:v>20861</c:v>
                </c:pt>
                <c:pt idx="111">
                  <c:v>46625</c:v>
                </c:pt>
                <c:pt idx="112">
                  <c:v>20692</c:v>
                </c:pt>
                <c:pt idx="113">
                  <c:v>18656</c:v>
                </c:pt>
                <c:pt idx="114">
                  <c:v>13316</c:v>
                </c:pt>
                <c:pt idx="115">
                  <c:v>49558</c:v>
                </c:pt>
                <c:pt idx="116">
                  <c:v>4683</c:v>
                </c:pt>
                <c:pt idx="117">
                  <c:v>47502</c:v>
                </c:pt>
                <c:pt idx="118">
                  <c:v>35359</c:v>
                </c:pt>
                <c:pt idx="119">
                  <c:v>14154</c:v>
                </c:pt>
                <c:pt idx="120">
                  <c:v>4313</c:v>
                </c:pt>
                <c:pt idx="121">
                  <c:v>25140</c:v>
                </c:pt>
                <c:pt idx="122">
                  <c:v>9118</c:v>
                </c:pt>
                <c:pt idx="123">
                  <c:v>39931</c:v>
                </c:pt>
                <c:pt idx="124">
                  <c:v>37132</c:v>
                </c:pt>
                <c:pt idx="125">
                  <c:v>17951</c:v>
                </c:pt>
                <c:pt idx="126">
                  <c:v>2798</c:v>
                </c:pt>
                <c:pt idx="127">
                  <c:v>15045</c:v>
                </c:pt>
                <c:pt idx="128">
                  <c:v>14548</c:v>
                </c:pt>
                <c:pt idx="129">
                  <c:v>45708</c:v>
                </c:pt>
                <c:pt idx="130">
                  <c:v>12350</c:v>
                </c:pt>
                <c:pt idx="131">
                  <c:v>40868</c:v>
                </c:pt>
                <c:pt idx="132">
                  <c:v>43122</c:v>
                </c:pt>
                <c:pt idx="133">
                  <c:v>23853</c:v>
                </c:pt>
                <c:pt idx="134">
                  <c:v>45380</c:v>
                </c:pt>
                <c:pt idx="135">
                  <c:v>7705</c:v>
                </c:pt>
                <c:pt idx="136">
                  <c:v>25525</c:v>
                </c:pt>
                <c:pt idx="137">
                  <c:v>20560</c:v>
                </c:pt>
                <c:pt idx="138">
                  <c:v>19119</c:v>
                </c:pt>
                <c:pt idx="139">
                  <c:v>43999</c:v>
                </c:pt>
                <c:pt idx="140">
                  <c:v>10825</c:v>
                </c:pt>
                <c:pt idx="141">
                  <c:v>40323</c:v>
                </c:pt>
                <c:pt idx="142">
                  <c:v>48270</c:v>
                </c:pt>
                <c:pt idx="143">
                  <c:v>18001</c:v>
                </c:pt>
                <c:pt idx="144">
                  <c:v>3314</c:v>
                </c:pt>
                <c:pt idx="145">
                  <c:v>23489</c:v>
                </c:pt>
                <c:pt idx="146">
                  <c:v>42832</c:v>
                </c:pt>
                <c:pt idx="147">
                  <c:v>24494</c:v>
                </c:pt>
                <c:pt idx="148">
                  <c:v>44097</c:v>
                </c:pt>
                <c:pt idx="149">
                  <c:v>31853</c:v>
                </c:pt>
                <c:pt idx="150">
                  <c:v>37636</c:v>
                </c:pt>
                <c:pt idx="151">
                  <c:v>22996</c:v>
                </c:pt>
                <c:pt idx="152">
                  <c:v>49772</c:v>
                </c:pt>
                <c:pt idx="153">
                  <c:v>22713</c:v>
                </c:pt>
                <c:pt idx="154">
                  <c:v>8718</c:v>
                </c:pt>
                <c:pt idx="155">
                  <c:v>39031</c:v>
                </c:pt>
                <c:pt idx="156">
                  <c:v>33799</c:v>
                </c:pt>
                <c:pt idx="157">
                  <c:v>20553</c:v>
                </c:pt>
                <c:pt idx="158">
                  <c:v>10002</c:v>
                </c:pt>
                <c:pt idx="159">
                  <c:v>30987</c:v>
                </c:pt>
                <c:pt idx="160">
                  <c:v>6296</c:v>
                </c:pt>
                <c:pt idx="161">
                  <c:v>21539</c:v>
                </c:pt>
                <c:pt idx="162">
                  <c:v>14722</c:v>
                </c:pt>
                <c:pt idx="163">
                  <c:v>11383</c:v>
                </c:pt>
                <c:pt idx="164">
                  <c:v>9480</c:v>
                </c:pt>
                <c:pt idx="165">
                  <c:v>29116</c:v>
                </c:pt>
                <c:pt idx="166">
                  <c:v>14068</c:v>
                </c:pt>
                <c:pt idx="167">
                  <c:v>35801</c:v>
                </c:pt>
                <c:pt idx="168">
                  <c:v>49077</c:v>
                </c:pt>
                <c:pt idx="169">
                  <c:v>21453</c:v>
                </c:pt>
                <c:pt idx="170">
                  <c:v>21061</c:v>
                </c:pt>
                <c:pt idx="171">
                  <c:v>20059</c:v>
                </c:pt>
                <c:pt idx="172">
                  <c:v>23140</c:v>
                </c:pt>
                <c:pt idx="173">
                  <c:v>23461</c:v>
                </c:pt>
                <c:pt idx="174">
                  <c:v>11805</c:v>
                </c:pt>
                <c:pt idx="175">
                  <c:v>15969</c:v>
                </c:pt>
                <c:pt idx="176">
                  <c:v>2436</c:v>
                </c:pt>
                <c:pt idx="177">
                  <c:v>47603</c:v>
                </c:pt>
                <c:pt idx="178">
                  <c:v>42964</c:v>
                </c:pt>
                <c:pt idx="179">
                  <c:v>39923</c:v>
                </c:pt>
                <c:pt idx="180">
                  <c:v>2293</c:v>
                </c:pt>
                <c:pt idx="181">
                  <c:v>25920</c:v>
                </c:pt>
                <c:pt idx="182">
                  <c:v>11035</c:v>
                </c:pt>
                <c:pt idx="183">
                  <c:v>20733</c:v>
                </c:pt>
                <c:pt idx="184">
                  <c:v>18693</c:v>
                </c:pt>
                <c:pt idx="185">
                  <c:v>7875</c:v>
                </c:pt>
                <c:pt idx="186">
                  <c:v>8471</c:v>
                </c:pt>
                <c:pt idx="187">
                  <c:v>14090</c:v>
                </c:pt>
                <c:pt idx="188">
                  <c:v>14216</c:v>
                </c:pt>
                <c:pt idx="189">
                  <c:v>3582</c:v>
                </c:pt>
                <c:pt idx="190">
                  <c:v>32500</c:v>
                </c:pt>
                <c:pt idx="191">
                  <c:v>6832</c:v>
                </c:pt>
                <c:pt idx="192">
                  <c:v>33381</c:v>
                </c:pt>
                <c:pt idx="193">
                  <c:v>48419</c:v>
                </c:pt>
                <c:pt idx="194">
                  <c:v>16149</c:v>
                </c:pt>
                <c:pt idx="195">
                  <c:v>7541</c:v>
                </c:pt>
                <c:pt idx="196">
                  <c:v>20042</c:v>
                </c:pt>
                <c:pt idx="197">
                  <c:v>49400</c:v>
                </c:pt>
                <c:pt idx="198">
                  <c:v>4007</c:v>
                </c:pt>
                <c:pt idx="199">
                  <c:v>12174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B2-E44B-9119-AF88DAB44F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5599743"/>
        <c:axId val="1758354879"/>
      </c:scatterChart>
      <c:valAx>
        <c:axId val="1525599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8354879"/>
        <c:crosses val="autoZero"/>
        <c:crossBetween val="midCat"/>
      </c:valAx>
      <c:valAx>
        <c:axId val="1758354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USD]\ 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55997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146050</xdr:colOff>
      <xdr:row>3</xdr:row>
      <xdr:rowOff>76200</xdr:rowOff>
    </xdr:from>
    <xdr:to>
      <xdr:col>26</xdr:col>
      <xdr:colOff>64796</xdr:colOff>
      <xdr:row>32</xdr:row>
      <xdr:rowOff>129592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8F3216-5754-816C-E644-E949D97BEA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159051</xdr:colOff>
      <xdr:row>32</xdr:row>
      <xdr:rowOff>140650</xdr:rowOff>
    </xdr:from>
    <xdr:to>
      <xdr:col>28</xdr:col>
      <xdr:colOff>131836</xdr:colOff>
      <xdr:row>47</xdr:row>
      <xdr:rowOff>125617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6909977-1AB7-D4B5-80EC-ADB1DC084D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528648</xdr:colOff>
      <xdr:row>49</xdr:row>
      <xdr:rowOff>69808</xdr:rowOff>
    </xdr:from>
    <xdr:to>
      <xdr:col>28</xdr:col>
      <xdr:colOff>151535</xdr:colOff>
      <xdr:row>62</xdr:row>
      <xdr:rowOff>132530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3BAC6A1-0256-ADA0-B338-C1AE33DEFD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drive.google.com/drive/folders/1cwCUQV8FSXfUxZxdCuDInJNM4fXMCGdA?usp=sharing" TargetMode="External"/><Relationship Id="rId1" Type="http://schemas.openxmlformats.org/officeDocument/2006/relationships/hyperlink" Target="https://drive.google.com/drive/folders/1cwCUQV8FSXfUxZxdCuDInJNM4fXMCGdA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A39FE-EC35-074A-B771-03490C5420EE}">
  <dimension ref="A1:K201"/>
  <sheetViews>
    <sheetView tabSelected="1" topLeftCell="H14" zoomScale="75" workbookViewId="0">
      <selection activeCell="K60" sqref="K60"/>
    </sheetView>
  </sheetViews>
  <sheetFormatPr baseColWidth="10" defaultRowHeight="16" x14ac:dyDescent="0.2"/>
  <cols>
    <col min="1" max="1" width="20.6640625" customWidth="1"/>
    <col min="3" max="3" width="19.6640625" customWidth="1"/>
    <col min="5" max="5" width="18.33203125" customWidth="1"/>
    <col min="6" max="6" width="20.1640625" customWidth="1"/>
    <col min="7" max="7" width="25.6640625" customWidth="1"/>
    <col min="8" max="8" width="21.33203125" customWidth="1"/>
    <col min="9" max="9" width="30" customWidth="1"/>
    <col min="10" max="10" width="16.33203125" customWidth="1"/>
    <col min="11" max="11" width="56.83203125" customWidth="1"/>
  </cols>
  <sheetData>
    <row r="1" spans="1:9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14</v>
      </c>
      <c r="F1" s="2" t="s">
        <v>11</v>
      </c>
      <c r="G1" s="2" t="s">
        <v>4</v>
      </c>
      <c r="H1" s="3" t="s">
        <v>5</v>
      </c>
      <c r="I1" s="1" t="s">
        <v>6</v>
      </c>
    </row>
    <row r="2" spans="1:9" x14ac:dyDescent="0.2">
      <c r="A2" s="4">
        <v>45446</v>
      </c>
      <c r="B2" s="5" t="s">
        <v>7</v>
      </c>
      <c r="C2" s="6">
        <v>1135</v>
      </c>
      <c r="D2" s="6">
        <v>88</v>
      </c>
      <c r="E2" s="6">
        <f>AVERAGE(F2:F4)</f>
        <v>821.33333333333337</v>
      </c>
      <c r="F2" s="6">
        <f>C2-D2</f>
        <v>1047</v>
      </c>
      <c r="G2" s="6">
        <v>344084</v>
      </c>
      <c r="H2" s="7">
        <v>8.06</v>
      </c>
      <c r="I2" s="8">
        <v>5904</v>
      </c>
    </row>
    <row r="3" spans="1:9" x14ac:dyDescent="0.2">
      <c r="A3" s="4">
        <v>45446</v>
      </c>
      <c r="B3" s="5" t="s">
        <v>8</v>
      </c>
      <c r="C3" s="6">
        <v>1312</v>
      </c>
      <c r="D3" s="6">
        <v>310</v>
      </c>
      <c r="E3" s="6">
        <f t="shared" ref="E3:E66" si="0">AVERAGE(F3:F5)</f>
        <v>835.66666666666663</v>
      </c>
      <c r="F3" s="6">
        <f t="shared" ref="F3:F66" si="1">C3-D3</f>
        <v>1002</v>
      </c>
      <c r="G3" s="6">
        <v>42654</v>
      </c>
      <c r="H3" s="7">
        <v>4.9800000000000004</v>
      </c>
      <c r="I3" s="8">
        <v>9566</v>
      </c>
    </row>
    <row r="4" spans="1:9" x14ac:dyDescent="0.2">
      <c r="A4" s="4">
        <v>45446</v>
      </c>
      <c r="B4" s="5" t="s">
        <v>9</v>
      </c>
      <c r="C4" s="6">
        <v>584</v>
      </c>
      <c r="D4" s="6">
        <v>169</v>
      </c>
      <c r="E4" s="6">
        <f t="shared" si="0"/>
        <v>674</v>
      </c>
      <c r="F4" s="6">
        <f t="shared" si="1"/>
        <v>415</v>
      </c>
      <c r="G4" s="6">
        <v>146834</v>
      </c>
      <c r="H4" s="7">
        <v>8.31</v>
      </c>
      <c r="I4" s="8">
        <v>26752</v>
      </c>
    </row>
    <row r="5" spans="1:9" x14ac:dyDescent="0.2">
      <c r="A5" s="4">
        <v>45446</v>
      </c>
      <c r="B5" s="5" t="s">
        <v>10</v>
      </c>
      <c r="C5" s="6">
        <v>1535</v>
      </c>
      <c r="D5" s="6">
        <v>445</v>
      </c>
      <c r="E5" s="6">
        <f t="shared" si="0"/>
        <v>963.33333333333337</v>
      </c>
      <c r="F5" s="6">
        <f t="shared" si="1"/>
        <v>1090</v>
      </c>
      <c r="G5" s="6">
        <v>395536</v>
      </c>
      <c r="H5" s="7">
        <v>4.1100000000000003</v>
      </c>
      <c r="I5" s="8">
        <v>30671</v>
      </c>
    </row>
    <row r="6" spans="1:9" x14ac:dyDescent="0.2">
      <c r="A6" s="4">
        <v>45453</v>
      </c>
      <c r="B6" s="5" t="s">
        <v>7</v>
      </c>
      <c r="C6" s="6">
        <v>656</v>
      </c>
      <c r="D6" s="6">
        <v>139</v>
      </c>
      <c r="E6" s="6">
        <f t="shared" si="0"/>
        <v>662</v>
      </c>
      <c r="F6" s="6">
        <f t="shared" si="1"/>
        <v>517</v>
      </c>
      <c r="G6" s="6">
        <v>49157</v>
      </c>
      <c r="H6" s="7">
        <v>9.0500000000000007</v>
      </c>
      <c r="I6" s="8">
        <v>9920</v>
      </c>
    </row>
    <row r="7" spans="1:9" x14ac:dyDescent="0.2">
      <c r="A7" s="4">
        <v>45453</v>
      </c>
      <c r="B7" s="5" t="s">
        <v>8</v>
      </c>
      <c r="C7" s="6">
        <v>1697</v>
      </c>
      <c r="D7" s="6">
        <v>414</v>
      </c>
      <c r="E7" s="6">
        <f t="shared" si="0"/>
        <v>821</v>
      </c>
      <c r="F7" s="6">
        <f t="shared" si="1"/>
        <v>1283</v>
      </c>
      <c r="G7" s="6">
        <v>316555</v>
      </c>
      <c r="H7" s="7">
        <v>2.37</v>
      </c>
      <c r="I7" s="8">
        <v>7924</v>
      </c>
    </row>
    <row r="8" spans="1:9" x14ac:dyDescent="0.2">
      <c r="A8" s="4">
        <v>45453</v>
      </c>
      <c r="B8" s="5" t="s">
        <v>9</v>
      </c>
      <c r="C8" s="6">
        <v>436</v>
      </c>
      <c r="D8" s="6">
        <v>250</v>
      </c>
      <c r="E8" s="6">
        <f t="shared" si="0"/>
        <v>691</v>
      </c>
      <c r="F8" s="6">
        <f t="shared" si="1"/>
        <v>186</v>
      </c>
      <c r="G8" s="6">
        <v>254347</v>
      </c>
      <c r="H8" s="7">
        <v>4.01</v>
      </c>
      <c r="I8" s="8">
        <v>8912</v>
      </c>
    </row>
    <row r="9" spans="1:9" x14ac:dyDescent="0.2">
      <c r="A9" s="4">
        <v>45453</v>
      </c>
      <c r="B9" s="5" t="s">
        <v>10</v>
      </c>
      <c r="C9" s="6">
        <v>1197</v>
      </c>
      <c r="D9" s="6">
        <v>203</v>
      </c>
      <c r="E9" s="6">
        <f t="shared" si="0"/>
        <v>1089.6666666666667</v>
      </c>
      <c r="F9" s="6">
        <f t="shared" si="1"/>
        <v>994</v>
      </c>
      <c r="G9" s="6">
        <v>413878</v>
      </c>
      <c r="H9" s="7">
        <v>3.16</v>
      </c>
      <c r="I9" s="8">
        <v>21205</v>
      </c>
    </row>
    <row r="10" spans="1:9" x14ac:dyDescent="0.2">
      <c r="A10" s="4">
        <v>45460</v>
      </c>
      <c r="B10" s="5" t="s">
        <v>7</v>
      </c>
      <c r="C10" s="6">
        <v>1048</v>
      </c>
      <c r="D10" s="6">
        <v>155</v>
      </c>
      <c r="E10" s="6">
        <f t="shared" si="0"/>
        <v>1190</v>
      </c>
      <c r="F10" s="6">
        <f t="shared" si="1"/>
        <v>893</v>
      </c>
      <c r="G10" s="6">
        <v>456946</v>
      </c>
      <c r="H10" s="7">
        <v>2.46</v>
      </c>
      <c r="I10" s="8">
        <v>11329</v>
      </c>
    </row>
    <row r="11" spans="1:9" x14ac:dyDescent="0.2">
      <c r="A11" s="4">
        <v>45460</v>
      </c>
      <c r="B11" s="5" t="s">
        <v>8</v>
      </c>
      <c r="C11" s="6">
        <v>1753</v>
      </c>
      <c r="D11" s="6">
        <v>371</v>
      </c>
      <c r="E11" s="6">
        <f t="shared" si="0"/>
        <v>1004.6666666666666</v>
      </c>
      <c r="F11" s="6">
        <f t="shared" si="1"/>
        <v>1382</v>
      </c>
      <c r="G11" s="6">
        <v>169496</v>
      </c>
      <c r="H11" s="7">
        <v>8.11</v>
      </c>
      <c r="I11" s="8">
        <v>46670</v>
      </c>
    </row>
    <row r="12" spans="1:9" x14ac:dyDescent="0.2">
      <c r="A12" s="4">
        <v>45460</v>
      </c>
      <c r="B12" s="5" t="s">
        <v>9</v>
      </c>
      <c r="C12" s="6">
        <v>1335</v>
      </c>
      <c r="D12" s="6">
        <v>40</v>
      </c>
      <c r="E12" s="6">
        <f t="shared" si="0"/>
        <v>753.66666666666663</v>
      </c>
      <c r="F12" s="6">
        <f t="shared" si="1"/>
        <v>1295</v>
      </c>
      <c r="G12" s="6">
        <v>122732</v>
      </c>
      <c r="H12" s="7">
        <v>8.19</v>
      </c>
      <c r="I12" s="8">
        <v>22482</v>
      </c>
    </row>
    <row r="13" spans="1:9" x14ac:dyDescent="0.2">
      <c r="A13" s="4">
        <v>45460</v>
      </c>
      <c r="B13" s="5" t="s">
        <v>10</v>
      </c>
      <c r="C13" s="6">
        <v>403</v>
      </c>
      <c r="D13" s="6">
        <v>66</v>
      </c>
      <c r="E13" s="6">
        <f t="shared" si="0"/>
        <v>878.66666666666663</v>
      </c>
      <c r="F13" s="6">
        <f t="shared" si="1"/>
        <v>337</v>
      </c>
      <c r="G13" s="6">
        <v>382851</v>
      </c>
      <c r="H13" s="7">
        <v>3.49</v>
      </c>
      <c r="I13" s="8">
        <v>24313</v>
      </c>
    </row>
    <row r="14" spans="1:9" x14ac:dyDescent="0.2">
      <c r="A14" s="4">
        <v>45467</v>
      </c>
      <c r="B14" s="5" t="s">
        <v>7</v>
      </c>
      <c r="C14" s="6">
        <v>911</v>
      </c>
      <c r="D14" s="6">
        <v>282</v>
      </c>
      <c r="E14" s="6">
        <f t="shared" si="0"/>
        <v>1044.6666666666667</v>
      </c>
      <c r="F14" s="6">
        <f t="shared" si="1"/>
        <v>629</v>
      </c>
      <c r="G14" s="6">
        <v>35664</v>
      </c>
      <c r="H14" s="7">
        <v>6.92</v>
      </c>
      <c r="I14" s="8">
        <v>18050</v>
      </c>
    </row>
    <row r="15" spans="1:9" x14ac:dyDescent="0.2">
      <c r="A15" s="4">
        <v>45467</v>
      </c>
      <c r="B15" s="5" t="s">
        <v>8</v>
      </c>
      <c r="C15" s="6">
        <v>1779</v>
      </c>
      <c r="D15" s="6">
        <v>109</v>
      </c>
      <c r="E15" s="6">
        <f t="shared" si="0"/>
        <v>794</v>
      </c>
      <c r="F15" s="6">
        <f t="shared" si="1"/>
        <v>1670</v>
      </c>
      <c r="G15" s="6">
        <v>26295</v>
      </c>
      <c r="H15" s="7">
        <v>9.1199999999999992</v>
      </c>
      <c r="I15" s="8">
        <v>30635</v>
      </c>
    </row>
    <row r="16" spans="1:9" x14ac:dyDescent="0.2">
      <c r="A16" s="4">
        <v>45467</v>
      </c>
      <c r="B16" s="5" t="s">
        <v>9</v>
      </c>
      <c r="C16" s="6">
        <v>1238</v>
      </c>
      <c r="D16" s="6">
        <v>403</v>
      </c>
      <c r="E16" s="6">
        <f t="shared" si="0"/>
        <v>164.33333333333334</v>
      </c>
      <c r="F16" s="6">
        <f t="shared" si="1"/>
        <v>835</v>
      </c>
      <c r="G16" s="6">
        <v>298421</v>
      </c>
      <c r="H16" s="7">
        <v>3.5</v>
      </c>
      <c r="I16" s="8">
        <v>31280</v>
      </c>
    </row>
    <row r="17" spans="1:9" x14ac:dyDescent="0.2">
      <c r="A17" s="4">
        <v>45467</v>
      </c>
      <c r="B17" s="5" t="s">
        <v>10</v>
      </c>
      <c r="C17" s="6">
        <v>308</v>
      </c>
      <c r="D17" s="6">
        <v>431</v>
      </c>
      <c r="E17" s="6">
        <f t="shared" si="0"/>
        <v>-92.666666666666671</v>
      </c>
      <c r="F17" s="6">
        <f t="shared" si="1"/>
        <v>-123</v>
      </c>
      <c r="G17" s="6">
        <v>426184</v>
      </c>
      <c r="H17" s="7">
        <v>2.62</v>
      </c>
      <c r="I17" s="8">
        <v>1783</v>
      </c>
    </row>
    <row r="18" spans="1:9" x14ac:dyDescent="0.2">
      <c r="A18" s="4">
        <v>45474</v>
      </c>
      <c r="B18" s="5" t="s">
        <v>7</v>
      </c>
      <c r="C18" s="6">
        <v>226</v>
      </c>
      <c r="D18" s="6">
        <v>445</v>
      </c>
      <c r="E18" s="6">
        <f t="shared" si="0"/>
        <v>400.66666666666669</v>
      </c>
      <c r="F18" s="6">
        <f t="shared" si="1"/>
        <v>-219</v>
      </c>
      <c r="G18" s="6">
        <v>419447</v>
      </c>
      <c r="H18" s="7">
        <v>9.36</v>
      </c>
      <c r="I18" s="8">
        <v>9566</v>
      </c>
    </row>
    <row r="19" spans="1:9" x14ac:dyDescent="0.2">
      <c r="A19" s="4">
        <v>45474</v>
      </c>
      <c r="B19" s="5" t="s">
        <v>8</v>
      </c>
      <c r="C19" s="6">
        <v>505</v>
      </c>
      <c r="D19" s="6">
        <v>441</v>
      </c>
      <c r="E19" s="6">
        <f t="shared" si="0"/>
        <v>504</v>
      </c>
      <c r="F19" s="6">
        <f t="shared" si="1"/>
        <v>64</v>
      </c>
      <c r="G19" s="6">
        <v>220020</v>
      </c>
      <c r="H19" s="7">
        <v>4.4800000000000004</v>
      </c>
      <c r="I19" s="8">
        <v>42307</v>
      </c>
    </row>
    <row r="20" spans="1:9" x14ac:dyDescent="0.2">
      <c r="A20" s="4">
        <v>45474</v>
      </c>
      <c r="B20" s="5" t="s">
        <v>9</v>
      </c>
      <c r="C20" s="6">
        <v>1420</v>
      </c>
      <c r="D20" s="6">
        <v>63</v>
      </c>
      <c r="E20" s="6">
        <f t="shared" si="0"/>
        <v>1040</v>
      </c>
      <c r="F20" s="6">
        <f t="shared" si="1"/>
        <v>1357</v>
      </c>
      <c r="G20" s="6">
        <v>315305</v>
      </c>
      <c r="H20" s="7">
        <v>6.19</v>
      </c>
      <c r="I20" s="8">
        <v>5914</v>
      </c>
    </row>
    <row r="21" spans="1:9" x14ac:dyDescent="0.2">
      <c r="A21" s="4">
        <v>45474</v>
      </c>
      <c r="B21" s="5" t="s">
        <v>10</v>
      </c>
      <c r="C21" s="6">
        <v>144</v>
      </c>
      <c r="D21" s="6">
        <v>53</v>
      </c>
      <c r="E21" s="6">
        <f t="shared" si="0"/>
        <v>690.66666666666663</v>
      </c>
      <c r="F21" s="6">
        <f t="shared" si="1"/>
        <v>91</v>
      </c>
      <c r="G21" s="6">
        <v>113678</v>
      </c>
      <c r="H21" s="7">
        <v>8.7200000000000006</v>
      </c>
      <c r="I21" s="8">
        <v>30060</v>
      </c>
    </row>
    <row r="22" spans="1:9" x14ac:dyDescent="0.2">
      <c r="A22" s="4">
        <v>45481</v>
      </c>
      <c r="B22" s="5" t="s">
        <v>7</v>
      </c>
      <c r="C22" s="6">
        <v>1757</v>
      </c>
      <c r="D22" s="6">
        <v>85</v>
      </c>
      <c r="E22" s="6">
        <f t="shared" si="0"/>
        <v>842.66666666666663</v>
      </c>
      <c r="F22" s="6">
        <f t="shared" si="1"/>
        <v>1672</v>
      </c>
      <c r="G22" s="6">
        <v>58223</v>
      </c>
      <c r="H22" s="7">
        <v>8.74</v>
      </c>
      <c r="I22" s="8">
        <v>22728</v>
      </c>
    </row>
    <row r="23" spans="1:9" x14ac:dyDescent="0.2">
      <c r="A23" s="4">
        <v>45481</v>
      </c>
      <c r="B23" s="5" t="s">
        <v>8</v>
      </c>
      <c r="C23" s="6">
        <v>350</v>
      </c>
      <c r="D23" s="6">
        <v>41</v>
      </c>
      <c r="E23" s="6">
        <f t="shared" si="0"/>
        <v>456.66666666666669</v>
      </c>
      <c r="F23" s="6">
        <f t="shared" si="1"/>
        <v>309</v>
      </c>
      <c r="G23" s="6">
        <v>251694</v>
      </c>
      <c r="H23" s="7">
        <v>1.91</v>
      </c>
      <c r="I23" s="8">
        <v>38610</v>
      </c>
    </row>
    <row r="24" spans="1:9" x14ac:dyDescent="0.2">
      <c r="A24" s="4">
        <v>45481</v>
      </c>
      <c r="B24" s="5" t="s">
        <v>9</v>
      </c>
      <c r="C24" s="6">
        <v>987</v>
      </c>
      <c r="D24" s="6">
        <v>440</v>
      </c>
      <c r="E24" s="6">
        <f t="shared" si="0"/>
        <v>968.66666666666663</v>
      </c>
      <c r="F24" s="6">
        <f t="shared" si="1"/>
        <v>547</v>
      </c>
      <c r="G24" s="6">
        <v>389810</v>
      </c>
      <c r="H24" s="7">
        <v>4.66</v>
      </c>
      <c r="I24" s="8">
        <v>2932</v>
      </c>
    </row>
    <row r="25" spans="1:9" x14ac:dyDescent="0.2">
      <c r="A25" s="4">
        <v>45481</v>
      </c>
      <c r="B25" s="5" t="s">
        <v>10</v>
      </c>
      <c r="C25" s="6">
        <v>883</v>
      </c>
      <c r="D25" s="6">
        <v>369</v>
      </c>
      <c r="E25" s="6">
        <f t="shared" si="0"/>
        <v>731.66666666666663</v>
      </c>
      <c r="F25" s="6">
        <f t="shared" si="1"/>
        <v>514</v>
      </c>
      <c r="G25" s="6">
        <v>233694</v>
      </c>
      <c r="H25" s="7">
        <v>2.88</v>
      </c>
      <c r="I25" s="8">
        <v>15071</v>
      </c>
    </row>
    <row r="26" spans="1:9" x14ac:dyDescent="0.2">
      <c r="A26" s="4">
        <v>45488</v>
      </c>
      <c r="B26" s="5" t="s">
        <v>7</v>
      </c>
      <c r="C26" s="6">
        <v>1960</v>
      </c>
      <c r="D26" s="6">
        <v>115</v>
      </c>
      <c r="E26" s="6">
        <f t="shared" si="0"/>
        <v>703.33333333333337</v>
      </c>
      <c r="F26" s="6">
        <f t="shared" si="1"/>
        <v>1845</v>
      </c>
      <c r="G26" s="6">
        <v>154169</v>
      </c>
      <c r="H26" s="7">
        <v>3.74</v>
      </c>
      <c r="I26" s="8">
        <v>10740</v>
      </c>
    </row>
    <row r="27" spans="1:9" x14ac:dyDescent="0.2">
      <c r="A27" s="4">
        <v>45488</v>
      </c>
      <c r="B27" s="5" t="s">
        <v>8</v>
      </c>
      <c r="C27" s="6">
        <v>170</v>
      </c>
      <c r="D27" s="6">
        <v>334</v>
      </c>
      <c r="E27" s="6">
        <f t="shared" si="0"/>
        <v>141.66666666666666</v>
      </c>
      <c r="F27" s="6">
        <f t="shared" si="1"/>
        <v>-164</v>
      </c>
      <c r="G27" s="6">
        <v>334626</v>
      </c>
      <c r="H27" s="7">
        <v>6.44</v>
      </c>
      <c r="I27" s="8">
        <v>43420</v>
      </c>
    </row>
    <row r="28" spans="1:9" x14ac:dyDescent="0.2">
      <c r="A28" s="4">
        <v>45488</v>
      </c>
      <c r="B28" s="5" t="s">
        <v>9</v>
      </c>
      <c r="C28" s="6">
        <v>704</v>
      </c>
      <c r="D28" s="6">
        <v>275</v>
      </c>
      <c r="E28" s="6">
        <f t="shared" si="0"/>
        <v>249.33333333333334</v>
      </c>
      <c r="F28" s="6">
        <f t="shared" si="1"/>
        <v>429</v>
      </c>
      <c r="G28" s="6">
        <v>226002</v>
      </c>
      <c r="H28" s="7">
        <v>8.56</v>
      </c>
      <c r="I28" s="8">
        <v>32393</v>
      </c>
    </row>
    <row r="29" spans="1:9" x14ac:dyDescent="0.2">
      <c r="A29" s="4">
        <v>45488</v>
      </c>
      <c r="B29" s="5" t="s">
        <v>10</v>
      </c>
      <c r="C29" s="6">
        <v>224</v>
      </c>
      <c r="D29" s="6">
        <v>64</v>
      </c>
      <c r="E29" s="6">
        <f t="shared" si="0"/>
        <v>426.66666666666669</v>
      </c>
      <c r="F29" s="6">
        <f t="shared" si="1"/>
        <v>160</v>
      </c>
      <c r="G29" s="6">
        <v>156683</v>
      </c>
      <c r="H29" s="7">
        <v>4.5599999999999996</v>
      </c>
      <c r="I29" s="8">
        <v>28474</v>
      </c>
    </row>
    <row r="30" spans="1:9" x14ac:dyDescent="0.2">
      <c r="A30" s="4">
        <v>45495</v>
      </c>
      <c r="B30" s="5" t="s">
        <v>7</v>
      </c>
      <c r="C30" s="6">
        <v>508</v>
      </c>
      <c r="D30" s="6">
        <v>349</v>
      </c>
      <c r="E30" s="6">
        <f t="shared" si="0"/>
        <v>812</v>
      </c>
      <c r="F30" s="6">
        <f t="shared" si="1"/>
        <v>159</v>
      </c>
      <c r="G30" s="6">
        <v>473812</v>
      </c>
      <c r="H30" s="7">
        <v>7.88</v>
      </c>
      <c r="I30" s="8">
        <v>17328</v>
      </c>
    </row>
    <row r="31" spans="1:9" x14ac:dyDescent="0.2">
      <c r="A31" s="4">
        <v>45495</v>
      </c>
      <c r="B31" s="5" t="s">
        <v>8</v>
      </c>
      <c r="C31" s="6">
        <v>1391</v>
      </c>
      <c r="D31" s="6">
        <v>430</v>
      </c>
      <c r="E31" s="6">
        <f t="shared" si="0"/>
        <v>864.66666666666663</v>
      </c>
      <c r="F31" s="6">
        <f t="shared" si="1"/>
        <v>961</v>
      </c>
      <c r="G31" s="6">
        <v>295032</v>
      </c>
      <c r="H31" s="7">
        <v>7.86</v>
      </c>
      <c r="I31" s="8">
        <v>26067</v>
      </c>
    </row>
    <row r="32" spans="1:9" x14ac:dyDescent="0.2">
      <c r="A32" s="4">
        <v>45495</v>
      </c>
      <c r="B32" s="5" t="s">
        <v>9</v>
      </c>
      <c r="C32" s="6">
        <v>1701</v>
      </c>
      <c r="D32" s="6">
        <v>385</v>
      </c>
      <c r="E32" s="6">
        <f t="shared" si="0"/>
        <v>724.66666666666663</v>
      </c>
      <c r="F32" s="6">
        <f t="shared" si="1"/>
        <v>1316</v>
      </c>
      <c r="G32" s="6">
        <v>198278</v>
      </c>
      <c r="H32" s="7">
        <v>5.34</v>
      </c>
      <c r="I32" s="8">
        <v>32763</v>
      </c>
    </row>
    <row r="33" spans="1:11" x14ac:dyDescent="0.2">
      <c r="A33" s="4">
        <v>45495</v>
      </c>
      <c r="B33" s="5" t="s">
        <v>10</v>
      </c>
      <c r="C33" s="6">
        <v>804</v>
      </c>
      <c r="D33" s="6">
        <v>487</v>
      </c>
      <c r="E33" s="6">
        <f t="shared" si="0"/>
        <v>180</v>
      </c>
      <c r="F33" s="6">
        <f t="shared" si="1"/>
        <v>317</v>
      </c>
      <c r="G33" s="6">
        <v>306564</v>
      </c>
      <c r="H33" s="7">
        <v>5.52</v>
      </c>
      <c r="I33" s="8">
        <v>26452</v>
      </c>
    </row>
    <row r="34" spans="1:11" x14ac:dyDescent="0.2">
      <c r="A34" s="4">
        <v>45502</v>
      </c>
      <c r="B34" s="5" t="s">
        <v>7</v>
      </c>
      <c r="C34" s="6">
        <v>653</v>
      </c>
      <c r="D34" s="6">
        <v>112</v>
      </c>
      <c r="E34" s="6">
        <f t="shared" si="0"/>
        <v>572.66666666666663</v>
      </c>
      <c r="F34" s="6">
        <f t="shared" si="1"/>
        <v>541</v>
      </c>
      <c r="G34" s="6">
        <v>23664</v>
      </c>
      <c r="H34" s="7">
        <v>4.05</v>
      </c>
      <c r="I34" s="8">
        <v>15353</v>
      </c>
      <c r="J34" s="11" t="s">
        <v>12</v>
      </c>
      <c r="K34" s="11"/>
    </row>
    <row r="35" spans="1:11" x14ac:dyDescent="0.2">
      <c r="A35" s="4">
        <v>45502</v>
      </c>
      <c r="B35" s="5" t="s">
        <v>8</v>
      </c>
      <c r="C35" s="6">
        <v>160</v>
      </c>
      <c r="D35" s="6">
        <v>478</v>
      </c>
      <c r="E35" s="6">
        <f t="shared" si="0"/>
        <v>550.66666666666663</v>
      </c>
      <c r="F35" s="6">
        <f t="shared" si="1"/>
        <v>-318</v>
      </c>
      <c r="G35" s="6">
        <v>435034</v>
      </c>
      <c r="H35" s="7">
        <v>7.73</v>
      </c>
      <c r="I35" s="8">
        <v>4839</v>
      </c>
      <c r="J35" s="9" t="s">
        <v>8</v>
      </c>
      <c r="K35" s="9">
        <f>_xlfn.MAXIFS($F$2:$F$201, $B$2:$B$201, J35)</f>
        <v>1776</v>
      </c>
    </row>
    <row r="36" spans="1:11" x14ac:dyDescent="0.2">
      <c r="A36" s="4">
        <v>45502</v>
      </c>
      <c r="B36" s="5" t="s">
        <v>9</v>
      </c>
      <c r="C36" s="6">
        <v>1756</v>
      </c>
      <c r="D36" s="6">
        <v>261</v>
      </c>
      <c r="E36" s="6">
        <f t="shared" si="0"/>
        <v>774</v>
      </c>
      <c r="F36" s="6">
        <f t="shared" si="1"/>
        <v>1495</v>
      </c>
      <c r="G36" s="6">
        <v>287574</v>
      </c>
      <c r="H36" s="7">
        <v>4.3600000000000003</v>
      </c>
      <c r="I36" s="8">
        <v>39272</v>
      </c>
      <c r="J36" s="9" t="s">
        <v>7</v>
      </c>
      <c r="K36" s="9">
        <f t="shared" ref="K36:K38" si="2">_xlfn.MAXIFS($F$2:$F$201, $B$2:$B$201, J36)</f>
        <v>1881</v>
      </c>
    </row>
    <row r="37" spans="1:11" x14ac:dyDescent="0.2">
      <c r="A37" s="4">
        <v>45502</v>
      </c>
      <c r="B37" s="5" t="s">
        <v>10</v>
      </c>
      <c r="C37" s="6">
        <v>576</v>
      </c>
      <c r="D37" s="6">
        <v>101</v>
      </c>
      <c r="E37" s="6">
        <f t="shared" si="0"/>
        <v>210</v>
      </c>
      <c r="F37" s="6">
        <f t="shared" si="1"/>
        <v>475</v>
      </c>
      <c r="G37" s="6">
        <v>62499</v>
      </c>
      <c r="H37" s="7">
        <v>3.48</v>
      </c>
      <c r="I37" s="8">
        <v>16804</v>
      </c>
      <c r="J37" s="9" t="s">
        <v>9</v>
      </c>
      <c r="K37" s="9">
        <f t="shared" si="2"/>
        <v>1727</v>
      </c>
    </row>
    <row r="38" spans="1:11" x14ac:dyDescent="0.2">
      <c r="A38" s="4">
        <v>45509</v>
      </c>
      <c r="B38" s="5" t="s">
        <v>7</v>
      </c>
      <c r="C38" s="6">
        <v>645</v>
      </c>
      <c r="D38" s="6">
        <v>293</v>
      </c>
      <c r="E38" s="6">
        <f t="shared" si="0"/>
        <v>161</v>
      </c>
      <c r="F38" s="6">
        <f t="shared" si="1"/>
        <v>352</v>
      </c>
      <c r="G38" s="6">
        <v>437968</v>
      </c>
      <c r="H38" s="7">
        <v>7.83</v>
      </c>
      <c r="I38" s="8">
        <v>49303</v>
      </c>
      <c r="J38" s="9" t="s">
        <v>10</v>
      </c>
      <c r="K38" s="9">
        <f t="shared" si="2"/>
        <v>1706</v>
      </c>
    </row>
    <row r="39" spans="1:11" x14ac:dyDescent="0.2">
      <c r="A39" s="4">
        <v>45509</v>
      </c>
      <c r="B39" s="5" t="s">
        <v>8</v>
      </c>
      <c r="C39" s="6">
        <v>214</v>
      </c>
      <c r="D39" s="6">
        <v>411</v>
      </c>
      <c r="E39" s="6">
        <f t="shared" si="0"/>
        <v>150</v>
      </c>
      <c r="F39" s="6">
        <f t="shared" si="1"/>
        <v>-197</v>
      </c>
      <c r="G39" s="6">
        <v>125034</v>
      </c>
      <c r="H39" s="7">
        <v>6.11</v>
      </c>
      <c r="I39" s="8">
        <v>26455</v>
      </c>
      <c r="J39" s="12" t="s">
        <v>13</v>
      </c>
      <c r="K39" s="12"/>
    </row>
    <row r="40" spans="1:11" x14ac:dyDescent="0.2">
      <c r="A40" s="4">
        <v>45509</v>
      </c>
      <c r="B40" s="5" t="s">
        <v>9</v>
      </c>
      <c r="C40" s="6">
        <v>826</v>
      </c>
      <c r="D40" s="6">
        <v>498</v>
      </c>
      <c r="E40" s="6">
        <f t="shared" si="0"/>
        <v>657.33333333333337</v>
      </c>
      <c r="F40" s="6">
        <f t="shared" si="1"/>
        <v>328</v>
      </c>
      <c r="G40" s="6">
        <v>449994</v>
      </c>
      <c r="H40" s="7">
        <v>9.43</v>
      </c>
      <c r="I40" s="8">
        <v>12384</v>
      </c>
      <c r="J40" s="9" t="s">
        <v>8</v>
      </c>
      <c r="K40" s="10">
        <f>INDEX($A$2:$A$201, MATCH(_xlfn.MAXIFS($F$2:$F$201, $B$2:$B$201, J40), $F$2:$F$201, 0))</f>
        <v>45656</v>
      </c>
    </row>
    <row r="41" spans="1:11" x14ac:dyDescent="0.2">
      <c r="A41" s="4">
        <v>45509</v>
      </c>
      <c r="B41" s="5" t="s">
        <v>10</v>
      </c>
      <c r="C41" s="6">
        <v>460</v>
      </c>
      <c r="D41" s="6">
        <v>141</v>
      </c>
      <c r="E41" s="6">
        <f t="shared" si="0"/>
        <v>992.66666666666663</v>
      </c>
      <c r="F41" s="6">
        <f t="shared" si="1"/>
        <v>319</v>
      </c>
      <c r="G41" s="6">
        <v>320650</v>
      </c>
      <c r="H41" s="7">
        <v>4.04</v>
      </c>
      <c r="I41" s="8">
        <v>49372</v>
      </c>
      <c r="J41" s="9" t="s">
        <v>7</v>
      </c>
      <c r="K41" s="10">
        <f t="shared" ref="K41:K43" si="3">INDEX($A$2:$A$201, MATCH(_xlfn.MAXIFS($F$2:$F$201, $B$2:$B$201, J41), $F$2:$F$201, 0))</f>
        <v>45782</v>
      </c>
    </row>
    <row r="42" spans="1:11" x14ac:dyDescent="0.2">
      <c r="A42" s="4">
        <v>45516</v>
      </c>
      <c r="B42" s="5" t="s">
        <v>7</v>
      </c>
      <c r="C42" s="6">
        <v>1528</v>
      </c>
      <c r="D42" s="6">
        <v>203</v>
      </c>
      <c r="E42" s="6">
        <f t="shared" si="0"/>
        <v>898.66666666666663</v>
      </c>
      <c r="F42" s="6">
        <f t="shared" si="1"/>
        <v>1325</v>
      </c>
      <c r="G42" s="6">
        <v>489188</v>
      </c>
      <c r="H42" s="7">
        <v>6.23</v>
      </c>
      <c r="I42" s="8">
        <v>47101</v>
      </c>
      <c r="J42" s="9" t="s">
        <v>9</v>
      </c>
      <c r="K42" s="10">
        <f t="shared" si="3"/>
        <v>45635</v>
      </c>
    </row>
    <row r="43" spans="1:11" x14ac:dyDescent="0.2">
      <c r="A43" s="4">
        <v>45516</v>
      </c>
      <c r="B43" s="5" t="s">
        <v>8</v>
      </c>
      <c r="C43" s="6">
        <v>1534</v>
      </c>
      <c r="D43" s="6">
        <v>200</v>
      </c>
      <c r="E43" s="6">
        <f t="shared" si="0"/>
        <v>801</v>
      </c>
      <c r="F43" s="6">
        <f t="shared" si="1"/>
        <v>1334</v>
      </c>
      <c r="G43" s="6">
        <v>307612</v>
      </c>
      <c r="H43" s="7">
        <v>6.01</v>
      </c>
      <c r="I43" s="8">
        <v>37903</v>
      </c>
      <c r="J43" s="9" t="s">
        <v>10</v>
      </c>
      <c r="K43" s="10">
        <f t="shared" si="3"/>
        <v>45565</v>
      </c>
    </row>
    <row r="44" spans="1:11" x14ac:dyDescent="0.2">
      <c r="A44" s="4">
        <v>45516</v>
      </c>
      <c r="B44" s="5" t="s">
        <v>9</v>
      </c>
      <c r="C44" s="6">
        <v>485</v>
      </c>
      <c r="D44" s="6">
        <v>448</v>
      </c>
      <c r="E44" s="6">
        <f t="shared" si="0"/>
        <v>381.66666666666669</v>
      </c>
      <c r="F44" s="6">
        <f t="shared" si="1"/>
        <v>37</v>
      </c>
      <c r="G44" s="6">
        <v>434883</v>
      </c>
      <c r="H44" s="7">
        <v>8.5500000000000007</v>
      </c>
      <c r="I44" s="8">
        <v>33258</v>
      </c>
    </row>
    <row r="45" spans="1:11" x14ac:dyDescent="0.2">
      <c r="A45" s="4">
        <v>45516</v>
      </c>
      <c r="B45" s="5" t="s">
        <v>10</v>
      </c>
      <c r="C45" s="6">
        <v>1210</v>
      </c>
      <c r="D45" s="6">
        <v>178</v>
      </c>
      <c r="E45" s="6">
        <f t="shared" si="0"/>
        <v>722</v>
      </c>
      <c r="F45" s="6">
        <f t="shared" si="1"/>
        <v>1032</v>
      </c>
      <c r="G45" s="6">
        <v>102042</v>
      </c>
      <c r="H45" s="7">
        <v>5.42</v>
      </c>
      <c r="I45" s="8">
        <v>6915</v>
      </c>
    </row>
    <row r="46" spans="1:11" x14ac:dyDescent="0.2">
      <c r="A46" s="4">
        <v>45523</v>
      </c>
      <c r="B46" s="5" t="s">
        <v>7</v>
      </c>
      <c r="C46" s="6">
        <v>215</v>
      </c>
      <c r="D46" s="6">
        <v>139</v>
      </c>
      <c r="E46" s="6">
        <f t="shared" si="0"/>
        <v>933</v>
      </c>
      <c r="F46" s="6">
        <f t="shared" si="1"/>
        <v>76</v>
      </c>
      <c r="G46" s="6">
        <v>325444</v>
      </c>
      <c r="H46" s="7">
        <v>3.25</v>
      </c>
      <c r="I46" s="8">
        <v>35501</v>
      </c>
    </row>
    <row r="47" spans="1:11" x14ac:dyDescent="0.2">
      <c r="A47" s="4">
        <v>45523</v>
      </c>
      <c r="B47" s="5" t="s">
        <v>8</v>
      </c>
      <c r="C47" s="6">
        <v>1078</v>
      </c>
      <c r="D47" s="6">
        <v>20</v>
      </c>
      <c r="E47" s="6">
        <f t="shared" si="0"/>
        <v>971</v>
      </c>
      <c r="F47" s="6">
        <f t="shared" si="1"/>
        <v>1058</v>
      </c>
      <c r="G47" s="6">
        <v>183924</v>
      </c>
      <c r="H47" s="7">
        <v>8.84</v>
      </c>
      <c r="I47" s="8">
        <v>14203</v>
      </c>
      <c r="J47" s="9" t="s">
        <v>16</v>
      </c>
      <c r="K47" s="9"/>
    </row>
    <row r="48" spans="1:11" x14ac:dyDescent="0.2">
      <c r="A48" s="4">
        <v>45523</v>
      </c>
      <c r="B48" s="5" t="s">
        <v>9</v>
      </c>
      <c r="C48" s="6">
        <v>1751</v>
      </c>
      <c r="D48" s="6">
        <v>86</v>
      </c>
      <c r="E48" s="6">
        <f t="shared" si="0"/>
        <v>1154.6666666666667</v>
      </c>
      <c r="F48" s="6">
        <f t="shared" si="1"/>
        <v>1665</v>
      </c>
      <c r="G48" s="6">
        <v>188655</v>
      </c>
      <c r="H48" s="7">
        <v>7.24</v>
      </c>
      <c r="I48" s="8">
        <v>22206</v>
      </c>
      <c r="J48" s="9">
        <f>CORREL(F2:F201, I2:I201)</f>
        <v>8.5932221904422137E-2</v>
      </c>
      <c r="K48" s="9" t="s">
        <v>15</v>
      </c>
    </row>
    <row r="49" spans="1:11" x14ac:dyDescent="0.2">
      <c r="A49" s="4">
        <v>45523</v>
      </c>
      <c r="B49" s="5" t="s">
        <v>10</v>
      </c>
      <c r="C49" s="6">
        <v>221</v>
      </c>
      <c r="D49" s="6">
        <v>31</v>
      </c>
      <c r="E49" s="6">
        <f t="shared" si="0"/>
        <v>612</v>
      </c>
      <c r="F49" s="6">
        <f t="shared" si="1"/>
        <v>190</v>
      </c>
      <c r="G49" s="6">
        <v>87443</v>
      </c>
      <c r="H49" s="7">
        <v>6.19</v>
      </c>
      <c r="I49" s="8">
        <v>10283</v>
      </c>
    </row>
    <row r="50" spans="1:11" x14ac:dyDescent="0.2">
      <c r="A50" s="4">
        <v>45530</v>
      </c>
      <c r="B50" s="5" t="s">
        <v>7</v>
      </c>
      <c r="C50" s="6">
        <v>1685</v>
      </c>
      <c r="D50" s="6">
        <v>76</v>
      </c>
      <c r="E50" s="6">
        <f t="shared" si="0"/>
        <v>958.33333333333337</v>
      </c>
      <c r="F50" s="6">
        <f t="shared" si="1"/>
        <v>1609</v>
      </c>
      <c r="G50" s="6">
        <v>453799</v>
      </c>
      <c r="H50" s="7">
        <v>5.71</v>
      </c>
      <c r="I50" s="8">
        <v>24913</v>
      </c>
    </row>
    <row r="51" spans="1:11" x14ac:dyDescent="0.2">
      <c r="A51" s="4">
        <v>45530</v>
      </c>
      <c r="B51" s="5" t="s">
        <v>8</v>
      </c>
      <c r="C51" s="6">
        <v>248</v>
      </c>
      <c r="D51" s="6">
        <v>211</v>
      </c>
      <c r="E51" s="6">
        <f t="shared" si="0"/>
        <v>431.33333333333331</v>
      </c>
      <c r="F51" s="6">
        <f t="shared" si="1"/>
        <v>37</v>
      </c>
      <c r="G51" s="6">
        <v>379380</v>
      </c>
      <c r="H51" s="7">
        <v>9.0399999999999991</v>
      </c>
      <c r="I51" s="8">
        <v>26925</v>
      </c>
      <c r="J51" s="14" t="s">
        <v>17</v>
      </c>
      <c r="K51" s="15" t="s">
        <v>18</v>
      </c>
    </row>
    <row r="52" spans="1:11" x14ac:dyDescent="0.2">
      <c r="A52" s="4">
        <v>45530</v>
      </c>
      <c r="B52" s="5" t="s">
        <v>9</v>
      </c>
      <c r="C52" s="6">
        <v>1300</v>
      </c>
      <c r="D52" s="6">
        <v>71</v>
      </c>
      <c r="E52" s="6">
        <f t="shared" si="0"/>
        <v>834.66666666666663</v>
      </c>
      <c r="F52" s="6">
        <f t="shared" si="1"/>
        <v>1229</v>
      </c>
      <c r="G52" s="6">
        <v>186454</v>
      </c>
      <c r="H52" s="7">
        <v>3.91</v>
      </c>
      <c r="I52" s="8">
        <v>9942</v>
      </c>
      <c r="K52" s="13" t="s">
        <v>19</v>
      </c>
    </row>
    <row r="53" spans="1:11" x14ac:dyDescent="0.2">
      <c r="A53" s="4">
        <v>45530</v>
      </c>
      <c r="B53" s="5" t="s">
        <v>10</v>
      </c>
      <c r="C53" s="6">
        <v>422</v>
      </c>
      <c r="D53" s="6">
        <v>394</v>
      </c>
      <c r="E53" s="6">
        <f t="shared" si="0"/>
        <v>773.33333333333337</v>
      </c>
      <c r="F53" s="6">
        <f t="shared" si="1"/>
        <v>28</v>
      </c>
      <c r="G53" s="6">
        <v>239044</v>
      </c>
      <c r="H53" s="7">
        <v>7.83</v>
      </c>
      <c r="I53" s="8">
        <v>32929</v>
      </c>
    </row>
    <row r="54" spans="1:11" x14ac:dyDescent="0.2">
      <c r="A54" s="4">
        <v>45537</v>
      </c>
      <c r="B54" s="5" t="s">
        <v>7</v>
      </c>
      <c r="C54" s="6">
        <v>1429</v>
      </c>
      <c r="D54" s="6">
        <v>182</v>
      </c>
      <c r="E54" s="6">
        <f t="shared" si="0"/>
        <v>829.66666666666663</v>
      </c>
      <c r="F54" s="6">
        <f t="shared" si="1"/>
        <v>1247</v>
      </c>
      <c r="G54" s="6">
        <v>101332</v>
      </c>
      <c r="H54" s="7">
        <v>7.16</v>
      </c>
      <c r="I54" s="8">
        <v>37829</v>
      </c>
    </row>
    <row r="55" spans="1:11" x14ac:dyDescent="0.2">
      <c r="A55" s="4">
        <v>45537</v>
      </c>
      <c r="B55" s="5" t="s">
        <v>8</v>
      </c>
      <c r="C55" s="6">
        <v>1520</v>
      </c>
      <c r="D55" s="6">
        <v>475</v>
      </c>
      <c r="E55" s="6">
        <f t="shared" si="0"/>
        <v>525</v>
      </c>
      <c r="F55" s="6">
        <f t="shared" si="1"/>
        <v>1045</v>
      </c>
      <c r="G55" s="6">
        <v>496982</v>
      </c>
      <c r="H55" s="7">
        <v>6.41</v>
      </c>
      <c r="I55" s="8">
        <v>24384</v>
      </c>
    </row>
    <row r="56" spans="1:11" x14ac:dyDescent="0.2">
      <c r="A56" s="4">
        <v>45537</v>
      </c>
      <c r="B56" s="5" t="s">
        <v>9</v>
      </c>
      <c r="C56" s="6">
        <v>557</v>
      </c>
      <c r="D56" s="6">
        <v>360</v>
      </c>
      <c r="E56" s="6">
        <f t="shared" si="0"/>
        <v>700.66666666666663</v>
      </c>
      <c r="F56" s="6">
        <f t="shared" si="1"/>
        <v>197</v>
      </c>
      <c r="G56" s="6">
        <v>318779</v>
      </c>
      <c r="H56" s="7">
        <v>8.02</v>
      </c>
      <c r="I56" s="8">
        <v>25797</v>
      </c>
    </row>
    <row r="57" spans="1:11" x14ac:dyDescent="0.2">
      <c r="A57" s="4">
        <v>45537</v>
      </c>
      <c r="B57" s="5" t="s">
        <v>10</v>
      </c>
      <c r="C57" s="6">
        <v>728</v>
      </c>
      <c r="D57" s="6">
        <v>395</v>
      </c>
      <c r="E57" s="6">
        <f t="shared" si="0"/>
        <v>1111</v>
      </c>
      <c r="F57" s="6">
        <f t="shared" si="1"/>
        <v>333</v>
      </c>
      <c r="G57" s="6">
        <v>370971</v>
      </c>
      <c r="H57" s="7">
        <v>3.86</v>
      </c>
      <c r="I57" s="8">
        <v>12646</v>
      </c>
    </row>
    <row r="58" spans="1:11" x14ac:dyDescent="0.2">
      <c r="A58" s="4">
        <v>45544</v>
      </c>
      <c r="B58" s="5" t="s">
        <v>7</v>
      </c>
      <c r="C58" s="6">
        <v>1592</v>
      </c>
      <c r="D58" s="6">
        <v>20</v>
      </c>
      <c r="E58" s="6">
        <f t="shared" si="0"/>
        <v>1086.6666666666667</v>
      </c>
      <c r="F58" s="6">
        <f t="shared" si="1"/>
        <v>1572</v>
      </c>
      <c r="G58" s="6">
        <v>378054</v>
      </c>
      <c r="H58" s="7">
        <v>9.09</v>
      </c>
      <c r="I58" s="8">
        <v>26663</v>
      </c>
    </row>
    <row r="59" spans="1:11" x14ac:dyDescent="0.2">
      <c r="A59" s="4">
        <v>45544</v>
      </c>
      <c r="B59" s="5" t="s">
        <v>8</v>
      </c>
      <c r="C59" s="6">
        <v>1842</v>
      </c>
      <c r="D59" s="6">
        <v>414</v>
      </c>
      <c r="E59" s="6">
        <f t="shared" si="0"/>
        <v>929.33333333333337</v>
      </c>
      <c r="F59" s="6">
        <f t="shared" si="1"/>
        <v>1428</v>
      </c>
      <c r="G59" s="6">
        <v>307524</v>
      </c>
      <c r="H59" s="7">
        <v>1.76</v>
      </c>
      <c r="I59" s="8">
        <v>40478</v>
      </c>
    </row>
    <row r="60" spans="1:11" x14ac:dyDescent="0.2">
      <c r="A60" s="4">
        <v>45544</v>
      </c>
      <c r="B60" s="5" t="s">
        <v>9</v>
      </c>
      <c r="C60" s="6">
        <v>751</v>
      </c>
      <c r="D60" s="6">
        <v>491</v>
      </c>
      <c r="E60" s="6">
        <f t="shared" si="0"/>
        <v>579</v>
      </c>
      <c r="F60" s="6">
        <f t="shared" si="1"/>
        <v>260</v>
      </c>
      <c r="G60" s="6">
        <v>434047</v>
      </c>
      <c r="H60" s="7">
        <v>9.24</v>
      </c>
      <c r="I60" s="8">
        <v>15476</v>
      </c>
    </row>
    <row r="61" spans="1:11" x14ac:dyDescent="0.2">
      <c r="A61" s="4">
        <v>45544</v>
      </c>
      <c r="B61" s="5" t="s">
        <v>10</v>
      </c>
      <c r="C61" s="6">
        <v>1409</v>
      </c>
      <c r="D61" s="6">
        <v>309</v>
      </c>
      <c r="E61" s="6">
        <f t="shared" si="0"/>
        <v>525</v>
      </c>
      <c r="F61" s="6">
        <f t="shared" si="1"/>
        <v>1100</v>
      </c>
      <c r="G61" s="6">
        <v>64583</v>
      </c>
      <c r="H61" s="7">
        <v>8.99</v>
      </c>
      <c r="I61" s="8">
        <v>10217</v>
      </c>
    </row>
    <row r="62" spans="1:11" x14ac:dyDescent="0.2">
      <c r="A62" s="4">
        <v>45551</v>
      </c>
      <c r="B62" s="5" t="s">
        <v>7</v>
      </c>
      <c r="C62" s="6">
        <v>778</v>
      </c>
      <c r="D62" s="6">
        <v>401</v>
      </c>
      <c r="E62" s="6">
        <f t="shared" si="0"/>
        <v>533.33333333333337</v>
      </c>
      <c r="F62" s="6">
        <f t="shared" si="1"/>
        <v>377</v>
      </c>
      <c r="G62" s="6">
        <v>50793</v>
      </c>
      <c r="H62" s="7">
        <v>3.4</v>
      </c>
      <c r="I62" s="8">
        <v>21939</v>
      </c>
    </row>
    <row r="63" spans="1:11" x14ac:dyDescent="0.2">
      <c r="A63" s="4">
        <v>45551</v>
      </c>
      <c r="B63" s="5" t="s">
        <v>8</v>
      </c>
      <c r="C63" s="6">
        <v>443</v>
      </c>
      <c r="D63" s="6">
        <v>345</v>
      </c>
      <c r="E63" s="6">
        <f t="shared" si="0"/>
        <v>397</v>
      </c>
      <c r="F63" s="6">
        <f t="shared" si="1"/>
        <v>98</v>
      </c>
      <c r="G63" s="6">
        <v>474162</v>
      </c>
      <c r="H63" s="7">
        <v>9.1999999999999993</v>
      </c>
      <c r="I63" s="8">
        <v>47462</v>
      </c>
    </row>
    <row r="64" spans="1:11" x14ac:dyDescent="0.2">
      <c r="A64" s="4">
        <v>45551</v>
      </c>
      <c r="B64" s="5" t="s">
        <v>9</v>
      </c>
      <c r="C64" s="6">
        <v>1472</v>
      </c>
      <c r="D64" s="6">
        <v>347</v>
      </c>
      <c r="E64" s="6">
        <f t="shared" si="0"/>
        <v>586.33333333333337</v>
      </c>
      <c r="F64" s="6">
        <f t="shared" si="1"/>
        <v>1125</v>
      </c>
      <c r="G64" s="6">
        <v>392355</v>
      </c>
      <c r="H64" s="7">
        <v>8.59</v>
      </c>
      <c r="I64" s="8">
        <v>30270</v>
      </c>
    </row>
    <row r="65" spans="1:9" x14ac:dyDescent="0.2">
      <c r="A65" s="4">
        <v>45551</v>
      </c>
      <c r="B65" s="5" t="s">
        <v>10</v>
      </c>
      <c r="C65" s="6">
        <v>123</v>
      </c>
      <c r="D65" s="6">
        <v>155</v>
      </c>
      <c r="E65" s="6">
        <f t="shared" si="0"/>
        <v>205</v>
      </c>
      <c r="F65" s="6">
        <f t="shared" si="1"/>
        <v>-32</v>
      </c>
      <c r="G65" s="6">
        <v>119934</v>
      </c>
      <c r="H65" s="7">
        <v>3.5</v>
      </c>
      <c r="I65" s="8">
        <v>5442</v>
      </c>
    </row>
    <row r="66" spans="1:9" x14ac:dyDescent="0.2">
      <c r="A66" s="4">
        <v>45558</v>
      </c>
      <c r="B66" s="5" t="s">
        <v>7</v>
      </c>
      <c r="C66" s="6">
        <v>817</v>
      </c>
      <c r="D66" s="6">
        <v>151</v>
      </c>
      <c r="E66" s="6">
        <f t="shared" si="0"/>
        <v>775.66666666666663</v>
      </c>
      <c r="F66" s="6">
        <f t="shared" si="1"/>
        <v>666</v>
      </c>
      <c r="G66" s="6">
        <v>422625</v>
      </c>
      <c r="H66" s="7">
        <v>2.36</v>
      </c>
      <c r="I66" s="8">
        <v>1083</v>
      </c>
    </row>
    <row r="67" spans="1:9" x14ac:dyDescent="0.2">
      <c r="A67" s="4">
        <v>45558</v>
      </c>
      <c r="B67" s="5" t="s">
        <v>8</v>
      </c>
      <c r="C67" s="6">
        <v>198</v>
      </c>
      <c r="D67" s="6">
        <v>217</v>
      </c>
      <c r="E67" s="6">
        <f t="shared" ref="E67:E130" si="4">AVERAGE(F67:F69)</f>
        <v>889</v>
      </c>
      <c r="F67" s="6">
        <f t="shared" ref="F67:F130" si="5">C67-D67</f>
        <v>-19</v>
      </c>
      <c r="G67" s="6">
        <v>239753</v>
      </c>
      <c r="H67" s="7">
        <v>7.36</v>
      </c>
      <c r="I67" s="8">
        <v>11901</v>
      </c>
    </row>
    <row r="68" spans="1:9" x14ac:dyDescent="0.2">
      <c r="A68" s="4">
        <v>45558</v>
      </c>
      <c r="B68" s="5" t="s">
        <v>9</v>
      </c>
      <c r="C68" s="6">
        <v>1911</v>
      </c>
      <c r="D68" s="6">
        <v>231</v>
      </c>
      <c r="E68" s="6">
        <f t="shared" si="4"/>
        <v>1237</v>
      </c>
      <c r="F68" s="6">
        <f t="shared" si="5"/>
        <v>1680</v>
      </c>
      <c r="G68" s="6">
        <v>268516</v>
      </c>
      <c r="H68" s="7">
        <v>8.5500000000000007</v>
      </c>
      <c r="I68" s="8">
        <v>24018</v>
      </c>
    </row>
    <row r="69" spans="1:9" x14ac:dyDescent="0.2">
      <c r="A69" s="4">
        <v>45558</v>
      </c>
      <c r="B69" s="5" t="s">
        <v>10</v>
      </c>
      <c r="C69" s="6">
        <v>1218</v>
      </c>
      <c r="D69" s="6">
        <v>212</v>
      </c>
      <c r="E69" s="6">
        <f t="shared" si="4"/>
        <v>617.33333333333337</v>
      </c>
      <c r="F69" s="6">
        <f t="shared" si="5"/>
        <v>1006</v>
      </c>
      <c r="G69" s="6">
        <v>63177</v>
      </c>
      <c r="H69" s="7">
        <v>8.1300000000000008</v>
      </c>
      <c r="I69" s="8">
        <v>38883</v>
      </c>
    </row>
    <row r="70" spans="1:9" x14ac:dyDescent="0.2">
      <c r="A70" s="4">
        <v>45565</v>
      </c>
      <c r="B70" s="5" t="s">
        <v>7</v>
      </c>
      <c r="C70" s="6">
        <v>1433</v>
      </c>
      <c r="D70" s="6">
        <v>408</v>
      </c>
      <c r="E70" s="6">
        <f t="shared" si="4"/>
        <v>481.66666666666669</v>
      </c>
      <c r="F70" s="6">
        <f t="shared" si="5"/>
        <v>1025</v>
      </c>
      <c r="G70" s="6">
        <v>370269</v>
      </c>
      <c r="H70" s="7">
        <v>3.3</v>
      </c>
      <c r="I70" s="8">
        <v>30575</v>
      </c>
    </row>
    <row r="71" spans="1:9" x14ac:dyDescent="0.2">
      <c r="A71" s="4">
        <v>45565</v>
      </c>
      <c r="B71" s="5" t="s">
        <v>8</v>
      </c>
      <c r="C71" s="6">
        <v>250</v>
      </c>
      <c r="D71" s="6">
        <v>429</v>
      </c>
      <c r="E71" s="6">
        <f t="shared" si="4"/>
        <v>708.66666666666663</v>
      </c>
      <c r="F71" s="6">
        <f t="shared" si="5"/>
        <v>-179</v>
      </c>
      <c r="G71" s="6">
        <v>453423</v>
      </c>
      <c r="H71" s="7">
        <v>1.77</v>
      </c>
      <c r="I71" s="8">
        <v>2315</v>
      </c>
    </row>
    <row r="72" spans="1:9" x14ac:dyDescent="0.2">
      <c r="A72" s="4">
        <v>45565</v>
      </c>
      <c r="B72" s="5" t="s">
        <v>9</v>
      </c>
      <c r="C72" s="6">
        <v>752</v>
      </c>
      <c r="D72" s="6">
        <v>153</v>
      </c>
      <c r="E72" s="6">
        <f t="shared" si="4"/>
        <v>1392.3333333333333</v>
      </c>
      <c r="F72" s="6">
        <f t="shared" si="5"/>
        <v>599</v>
      </c>
      <c r="G72" s="6">
        <v>64906</v>
      </c>
      <c r="H72" s="7">
        <v>2.09</v>
      </c>
      <c r="I72" s="8">
        <v>12148</v>
      </c>
    </row>
    <row r="73" spans="1:9" x14ac:dyDescent="0.2">
      <c r="A73" s="4">
        <v>45565</v>
      </c>
      <c r="B73" s="5" t="s">
        <v>10</v>
      </c>
      <c r="C73" s="6">
        <v>1918</v>
      </c>
      <c r="D73" s="6">
        <v>212</v>
      </c>
      <c r="E73" s="6">
        <f t="shared" si="4"/>
        <v>1746.6666666666667</v>
      </c>
      <c r="F73" s="6">
        <f t="shared" si="5"/>
        <v>1706</v>
      </c>
      <c r="G73" s="6">
        <v>94360</v>
      </c>
      <c r="H73" s="7">
        <v>7.36</v>
      </c>
      <c r="I73" s="8">
        <v>36851</v>
      </c>
    </row>
    <row r="74" spans="1:9" x14ac:dyDescent="0.2">
      <c r="A74" s="4">
        <v>45572</v>
      </c>
      <c r="B74" s="5" t="s">
        <v>7</v>
      </c>
      <c r="C74" s="6">
        <v>1939</v>
      </c>
      <c r="D74" s="6">
        <v>67</v>
      </c>
      <c r="E74" s="6">
        <f t="shared" si="4"/>
        <v>1213.6666666666667</v>
      </c>
      <c r="F74" s="6">
        <f t="shared" si="5"/>
        <v>1872</v>
      </c>
      <c r="G74" s="6">
        <v>187183</v>
      </c>
      <c r="H74" s="7">
        <v>6.25</v>
      </c>
      <c r="I74" s="8">
        <v>41215</v>
      </c>
    </row>
    <row r="75" spans="1:9" x14ac:dyDescent="0.2">
      <c r="A75" s="4">
        <v>45572</v>
      </c>
      <c r="B75" s="5" t="s">
        <v>8</v>
      </c>
      <c r="C75" s="6">
        <v>1929</v>
      </c>
      <c r="D75" s="6">
        <v>267</v>
      </c>
      <c r="E75" s="6">
        <f t="shared" si="4"/>
        <v>629</v>
      </c>
      <c r="F75" s="6">
        <f t="shared" si="5"/>
        <v>1662</v>
      </c>
      <c r="G75" s="6">
        <v>379363</v>
      </c>
      <c r="H75" s="7">
        <v>1.75</v>
      </c>
      <c r="I75" s="8">
        <v>43836</v>
      </c>
    </row>
    <row r="76" spans="1:9" x14ac:dyDescent="0.2">
      <c r="A76" s="4">
        <v>45572</v>
      </c>
      <c r="B76" s="5" t="s">
        <v>9</v>
      </c>
      <c r="C76" s="6">
        <v>437</v>
      </c>
      <c r="D76" s="6">
        <v>330</v>
      </c>
      <c r="E76" s="6">
        <f t="shared" si="4"/>
        <v>483</v>
      </c>
      <c r="F76" s="6">
        <f t="shared" si="5"/>
        <v>107</v>
      </c>
      <c r="G76" s="6">
        <v>476486</v>
      </c>
      <c r="H76" s="7">
        <v>4.97</v>
      </c>
      <c r="I76" s="8">
        <v>4509</v>
      </c>
    </row>
    <row r="77" spans="1:9" x14ac:dyDescent="0.2">
      <c r="A77" s="4">
        <v>45572</v>
      </c>
      <c r="B77" s="5" t="s">
        <v>10</v>
      </c>
      <c r="C77" s="6">
        <v>307</v>
      </c>
      <c r="D77" s="6">
        <v>189</v>
      </c>
      <c r="E77" s="6">
        <f t="shared" si="4"/>
        <v>542.33333333333337</v>
      </c>
      <c r="F77" s="6">
        <f t="shared" si="5"/>
        <v>118</v>
      </c>
      <c r="G77" s="6">
        <v>117767</v>
      </c>
      <c r="H77" s="7">
        <v>9.3000000000000007</v>
      </c>
      <c r="I77" s="8">
        <v>27822</v>
      </c>
    </row>
    <row r="78" spans="1:9" x14ac:dyDescent="0.2">
      <c r="A78" s="4">
        <v>45579</v>
      </c>
      <c r="B78" s="5" t="s">
        <v>7</v>
      </c>
      <c r="C78" s="6">
        <v>1527</v>
      </c>
      <c r="D78" s="6">
        <v>303</v>
      </c>
      <c r="E78" s="6">
        <f t="shared" si="4"/>
        <v>496.33333333333331</v>
      </c>
      <c r="F78" s="6">
        <f t="shared" si="5"/>
        <v>1224</v>
      </c>
      <c r="G78" s="6">
        <v>388555</v>
      </c>
      <c r="H78" s="7">
        <v>8.9</v>
      </c>
      <c r="I78" s="8">
        <v>36397</v>
      </c>
    </row>
    <row r="79" spans="1:9" x14ac:dyDescent="0.2">
      <c r="A79" s="4">
        <v>45579</v>
      </c>
      <c r="B79" s="5" t="s">
        <v>8</v>
      </c>
      <c r="C79" s="6">
        <v>643</v>
      </c>
      <c r="D79" s="6">
        <v>358</v>
      </c>
      <c r="E79" s="6">
        <f t="shared" si="4"/>
        <v>210.66666666666666</v>
      </c>
      <c r="F79" s="6">
        <f t="shared" si="5"/>
        <v>285</v>
      </c>
      <c r="G79" s="6">
        <v>157599</v>
      </c>
      <c r="H79" s="7">
        <v>3.88</v>
      </c>
      <c r="I79" s="8">
        <v>7285</v>
      </c>
    </row>
    <row r="80" spans="1:9" x14ac:dyDescent="0.2">
      <c r="A80" s="4">
        <v>45579</v>
      </c>
      <c r="B80" s="5" t="s">
        <v>9</v>
      </c>
      <c r="C80" s="6">
        <v>201</v>
      </c>
      <c r="D80" s="6">
        <v>221</v>
      </c>
      <c r="E80" s="6">
        <f t="shared" si="4"/>
        <v>203</v>
      </c>
      <c r="F80" s="6">
        <f t="shared" si="5"/>
        <v>-20</v>
      </c>
      <c r="G80" s="6">
        <v>309772</v>
      </c>
      <c r="H80" s="7">
        <v>5.9</v>
      </c>
      <c r="I80" s="8">
        <v>33174</v>
      </c>
    </row>
    <row r="81" spans="1:9" x14ac:dyDescent="0.2">
      <c r="A81" s="4">
        <v>45579</v>
      </c>
      <c r="B81" s="5" t="s">
        <v>10</v>
      </c>
      <c r="C81" s="6">
        <v>414</v>
      </c>
      <c r="D81" s="6">
        <v>47</v>
      </c>
      <c r="E81" s="6">
        <f t="shared" si="4"/>
        <v>356</v>
      </c>
      <c r="F81" s="6">
        <f t="shared" si="5"/>
        <v>367</v>
      </c>
      <c r="G81" s="6">
        <v>199178</v>
      </c>
      <c r="H81" s="7">
        <v>1.53</v>
      </c>
      <c r="I81" s="8">
        <v>6742</v>
      </c>
    </row>
    <row r="82" spans="1:9" x14ac:dyDescent="0.2">
      <c r="A82" s="4">
        <v>45586</v>
      </c>
      <c r="B82" s="5" t="s">
        <v>7</v>
      </c>
      <c r="C82" s="6">
        <v>703</v>
      </c>
      <c r="D82" s="6">
        <v>441</v>
      </c>
      <c r="E82" s="6">
        <f t="shared" si="4"/>
        <v>445.66666666666669</v>
      </c>
      <c r="F82" s="6">
        <f t="shared" si="5"/>
        <v>262</v>
      </c>
      <c r="G82" s="6">
        <v>357089</v>
      </c>
      <c r="H82" s="7">
        <v>6.5</v>
      </c>
      <c r="I82" s="8">
        <v>32478</v>
      </c>
    </row>
    <row r="83" spans="1:9" x14ac:dyDescent="0.2">
      <c r="A83" s="4">
        <v>45586</v>
      </c>
      <c r="B83" s="5" t="s">
        <v>8</v>
      </c>
      <c r="C83" s="6">
        <v>508</v>
      </c>
      <c r="D83" s="6">
        <v>69</v>
      </c>
      <c r="E83" s="6">
        <f t="shared" si="4"/>
        <v>853</v>
      </c>
      <c r="F83" s="6">
        <f t="shared" si="5"/>
        <v>439</v>
      </c>
      <c r="G83" s="6">
        <v>23492</v>
      </c>
      <c r="H83" s="7">
        <v>3.16</v>
      </c>
      <c r="I83" s="8">
        <v>42824</v>
      </c>
    </row>
    <row r="84" spans="1:9" x14ac:dyDescent="0.2">
      <c r="A84" s="4">
        <v>45586</v>
      </c>
      <c r="B84" s="5" t="s">
        <v>9</v>
      </c>
      <c r="C84" s="6">
        <v>697</v>
      </c>
      <c r="D84" s="6">
        <v>61</v>
      </c>
      <c r="E84" s="6">
        <f t="shared" si="4"/>
        <v>898.66666666666663</v>
      </c>
      <c r="F84" s="6">
        <f t="shared" si="5"/>
        <v>636</v>
      </c>
      <c r="G84" s="6">
        <v>258287</v>
      </c>
      <c r="H84" s="7">
        <v>8.25</v>
      </c>
      <c r="I84" s="8">
        <v>21208</v>
      </c>
    </row>
    <row r="85" spans="1:9" x14ac:dyDescent="0.2">
      <c r="A85" s="4">
        <v>45586</v>
      </c>
      <c r="B85" s="5" t="s">
        <v>10</v>
      </c>
      <c r="C85" s="6">
        <v>1707</v>
      </c>
      <c r="D85" s="6">
        <v>223</v>
      </c>
      <c r="E85" s="6">
        <f t="shared" si="4"/>
        <v>815.33333333333337</v>
      </c>
      <c r="F85" s="6">
        <f t="shared" si="5"/>
        <v>1484</v>
      </c>
      <c r="G85" s="6">
        <v>256910</v>
      </c>
      <c r="H85" s="7">
        <v>5.41</v>
      </c>
      <c r="I85" s="8">
        <v>44321</v>
      </c>
    </row>
    <row r="86" spans="1:9" x14ac:dyDescent="0.2">
      <c r="A86" s="4">
        <v>45593</v>
      </c>
      <c r="B86" s="5" t="s">
        <v>7</v>
      </c>
      <c r="C86" s="6">
        <v>642</v>
      </c>
      <c r="D86" s="6">
        <v>66</v>
      </c>
      <c r="E86" s="6">
        <f t="shared" si="4"/>
        <v>333</v>
      </c>
      <c r="F86" s="6">
        <f t="shared" si="5"/>
        <v>576</v>
      </c>
      <c r="G86" s="6">
        <v>346522</v>
      </c>
      <c r="H86" s="7">
        <v>5.85</v>
      </c>
      <c r="I86" s="8">
        <v>13116</v>
      </c>
    </row>
    <row r="87" spans="1:9" x14ac:dyDescent="0.2">
      <c r="A87" s="4">
        <v>45593</v>
      </c>
      <c r="B87" s="5" t="s">
        <v>8</v>
      </c>
      <c r="C87" s="6">
        <v>859</v>
      </c>
      <c r="D87" s="6">
        <v>473</v>
      </c>
      <c r="E87" s="6">
        <f t="shared" si="4"/>
        <v>693.33333333333337</v>
      </c>
      <c r="F87" s="6">
        <f t="shared" si="5"/>
        <v>386</v>
      </c>
      <c r="G87" s="6">
        <v>209987</v>
      </c>
      <c r="H87" s="7">
        <v>4.46</v>
      </c>
      <c r="I87" s="8">
        <v>30214</v>
      </c>
    </row>
    <row r="88" spans="1:9" x14ac:dyDescent="0.2">
      <c r="A88" s="4">
        <v>45593</v>
      </c>
      <c r="B88" s="5" t="s">
        <v>9</v>
      </c>
      <c r="C88" s="6">
        <v>191</v>
      </c>
      <c r="D88" s="6">
        <v>154</v>
      </c>
      <c r="E88" s="6">
        <f t="shared" si="4"/>
        <v>1030.3333333333333</v>
      </c>
      <c r="F88" s="6">
        <f t="shared" si="5"/>
        <v>37</v>
      </c>
      <c r="G88" s="6">
        <v>240550</v>
      </c>
      <c r="H88" s="7">
        <v>5.22</v>
      </c>
      <c r="I88" s="8">
        <v>15827</v>
      </c>
    </row>
    <row r="89" spans="1:9" x14ac:dyDescent="0.2">
      <c r="A89" s="4">
        <v>45593</v>
      </c>
      <c r="B89" s="5" t="s">
        <v>10</v>
      </c>
      <c r="C89" s="6">
        <v>1814</v>
      </c>
      <c r="D89" s="6">
        <v>157</v>
      </c>
      <c r="E89" s="6">
        <f t="shared" si="4"/>
        <v>1198</v>
      </c>
      <c r="F89" s="6">
        <f t="shared" si="5"/>
        <v>1657</v>
      </c>
      <c r="G89" s="6">
        <v>305827</v>
      </c>
      <c r="H89" s="7">
        <v>1.99</v>
      </c>
      <c r="I89" s="8">
        <v>46643</v>
      </c>
    </row>
    <row r="90" spans="1:9" x14ac:dyDescent="0.2">
      <c r="A90" s="4">
        <v>45600</v>
      </c>
      <c r="B90" s="5" t="s">
        <v>7</v>
      </c>
      <c r="C90" s="6">
        <v>1466</v>
      </c>
      <c r="D90" s="6">
        <v>69</v>
      </c>
      <c r="E90" s="6">
        <f t="shared" si="4"/>
        <v>1180</v>
      </c>
      <c r="F90" s="6">
        <f t="shared" si="5"/>
        <v>1397</v>
      </c>
      <c r="G90" s="6">
        <v>54935</v>
      </c>
      <c r="H90" s="7">
        <v>6.85</v>
      </c>
      <c r="I90" s="8">
        <v>36484</v>
      </c>
    </row>
    <row r="91" spans="1:9" x14ac:dyDescent="0.2">
      <c r="A91" s="4">
        <v>45600</v>
      </c>
      <c r="B91" s="5" t="s">
        <v>8</v>
      </c>
      <c r="C91" s="6">
        <v>947</v>
      </c>
      <c r="D91" s="6">
        <v>407</v>
      </c>
      <c r="E91" s="6">
        <f t="shared" si="4"/>
        <v>1062.3333333333333</v>
      </c>
      <c r="F91" s="6">
        <f t="shared" si="5"/>
        <v>540</v>
      </c>
      <c r="G91" s="6">
        <v>319186</v>
      </c>
      <c r="H91" s="7">
        <v>3.32</v>
      </c>
      <c r="I91" s="8">
        <v>4996</v>
      </c>
    </row>
    <row r="92" spans="1:9" x14ac:dyDescent="0.2">
      <c r="A92" s="4">
        <v>45600</v>
      </c>
      <c r="B92" s="5" t="s">
        <v>9</v>
      </c>
      <c r="C92" s="6">
        <v>1821</v>
      </c>
      <c r="D92" s="6">
        <v>218</v>
      </c>
      <c r="E92" s="6">
        <f t="shared" si="4"/>
        <v>1183</v>
      </c>
      <c r="F92" s="6">
        <f t="shared" si="5"/>
        <v>1603</v>
      </c>
      <c r="G92" s="6">
        <v>439080</v>
      </c>
      <c r="H92" s="7">
        <v>5.68</v>
      </c>
      <c r="I92" s="8">
        <v>36095</v>
      </c>
    </row>
    <row r="93" spans="1:9" x14ac:dyDescent="0.2">
      <c r="A93" s="4">
        <v>45600</v>
      </c>
      <c r="B93" s="5" t="s">
        <v>10</v>
      </c>
      <c r="C93" s="6">
        <v>1507</v>
      </c>
      <c r="D93" s="6">
        <v>463</v>
      </c>
      <c r="E93" s="6">
        <f t="shared" si="4"/>
        <v>613.33333333333337</v>
      </c>
      <c r="F93" s="6">
        <f t="shared" si="5"/>
        <v>1044</v>
      </c>
      <c r="G93" s="6">
        <v>258944</v>
      </c>
      <c r="H93" s="7">
        <v>6.08</v>
      </c>
      <c r="I93" s="8">
        <v>16443</v>
      </c>
    </row>
    <row r="94" spans="1:9" x14ac:dyDescent="0.2">
      <c r="A94" s="4">
        <v>45607</v>
      </c>
      <c r="B94" s="5" t="s">
        <v>7</v>
      </c>
      <c r="C94" s="6">
        <v>1075</v>
      </c>
      <c r="D94" s="6">
        <v>173</v>
      </c>
      <c r="E94" s="6">
        <f t="shared" si="4"/>
        <v>648.66666666666663</v>
      </c>
      <c r="F94" s="6">
        <f t="shared" si="5"/>
        <v>902</v>
      </c>
      <c r="G94" s="6">
        <v>51395</v>
      </c>
      <c r="H94" s="7">
        <v>4.66</v>
      </c>
      <c r="I94" s="8">
        <v>47812</v>
      </c>
    </row>
    <row r="95" spans="1:9" x14ac:dyDescent="0.2">
      <c r="A95" s="4">
        <v>45607</v>
      </c>
      <c r="B95" s="5" t="s">
        <v>8</v>
      </c>
      <c r="C95" s="6">
        <v>171</v>
      </c>
      <c r="D95" s="6">
        <v>277</v>
      </c>
      <c r="E95" s="6">
        <f t="shared" si="4"/>
        <v>464.33333333333331</v>
      </c>
      <c r="F95" s="6">
        <f t="shared" si="5"/>
        <v>-106</v>
      </c>
      <c r="G95" s="6">
        <v>309483</v>
      </c>
      <c r="H95" s="7">
        <v>8.6999999999999993</v>
      </c>
      <c r="I95" s="8">
        <v>38452</v>
      </c>
    </row>
    <row r="96" spans="1:9" x14ac:dyDescent="0.2">
      <c r="A96" s="4">
        <v>45607</v>
      </c>
      <c r="B96" s="5" t="s">
        <v>9</v>
      </c>
      <c r="C96" s="6">
        <v>1487</v>
      </c>
      <c r="D96" s="6">
        <v>337</v>
      </c>
      <c r="E96" s="6">
        <f t="shared" si="4"/>
        <v>483.33333333333331</v>
      </c>
      <c r="F96" s="6">
        <f t="shared" si="5"/>
        <v>1150</v>
      </c>
      <c r="G96" s="6">
        <v>87305</v>
      </c>
      <c r="H96" s="7">
        <v>2.46</v>
      </c>
      <c r="I96" s="8">
        <v>30428</v>
      </c>
    </row>
    <row r="97" spans="1:9" x14ac:dyDescent="0.2">
      <c r="A97" s="4">
        <v>45607</v>
      </c>
      <c r="B97" s="5" t="s">
        <v>10</v>
      </c>
      <c r="C97" s="6">
        <v>454</v>
      </c>
      <c r="D97" s="6">
        <v>105</v>
      </c>
      <c r="E97" s="6">
        <f t="shared" si="4"/>
        <v>124</v>
      </c>
      <c r="F97" s="6">
        <f t="shared" si="5"/>
        <v>349</v>
      </c>
      <c r="G97" s="6">
        <v>121091</v>
      </c>
      <c r="H97" s="7">
        <v>7.97</v>
      </c>
      <c r="I97" s="8">
        <v>9269</v>
      </c>
    </row>
    <row r="98" spans="1:9" x14ac:dyDescent="0.2">
      <c r="A98" s="4">
        <v>45614</v>
      </c>
      <c r="B98" s="5" t="s">
        <v>7</v>
      </c>
      <c r="C98" s="6">
        <v>187</v>
      </c>
      <c r="D98" s="6">
        <v>236</v>
      </c>
      <c r="E98" s="6">
        <f t="shared" si="4"/>
        <v>156</v>
      </c>
      <c r="F98" s="6">
        <f t="shared" si="5"/>
        <v>-49</v>
      </c>
      <c r="G98" s="6">
        <v>51087</v>
      </c>
      <c r="H98" s="7">
        <v>9.41</v>
      </c>
      <c r="I98" s="8">
        <v>29533</v>
      </c>
    </row>
    <row r="99" spans="1:9" x14ac:dyDescent="0.2">
      <c r="A99" s="4">
        <v>45614</v>
      </c>
      <c r="B99" s="5" t="s">
        <v>8</v>
      </c>
      <c r="C99" s="6">
        <v>513</v>
      </c>
      <c r="D99" s="6">
        <v>441</v>
      </c>
      <c r="E99" s="6">
        <f t="shared" si="4"/>
        <v>192.33333333333334</v>
      </c>
      <c r="F99" s="6">
        <f t="shared" si="5"/>
        <v>72</v>
      </c>
      <c r="G99" s="6">
        <v>338847</v>
      </c>
      <c r="H99" s="7">
        <v>2.68</v>
      </c>
      <c r="I99" s="8">
        <v>39997</v>
      </c>
    </row>
    <row r="100" spans="1:9" x14ac:dyDescent="0.2">
      <c r="A100" s="4">
        <v>45614</v>
      </c>
      <c r="B100" s="5" t="s">
        <v>9</v>
      </c>
      <c r="C100" s="6">
        <v>628</v>
      </c>
      <c r="D100" s="6">
        <v>183</v>
      </c>
      <c r="E100" s="6">
        <f t="shared" si="4"/>
        <v>732.66666666666663</v>
      </c>
      <c r="F100" s="6">
        <f t="shared" si="5"/>
        <v>445</v>
      </c>
      <c r="G100" s="6">
        <v>487523</v>
      </c>
      <c r="H100" s="7">
        <v>7.32</v>
      </c>
      <c r="I100" s="8">
        <v>5391</v>
      </c>
    </row>
    <row r="101" spans="1:9" x14ac:dyDescent="0.2">
      <c r="A101" s="4">
        <v>45614</v>
      </c>
      <c r="B101" s="5" t="s">
        <v>10</v>
      </c>
      <c r="C101" s="6">
        <v>278</v>
      </c>
      <c r="D101" s="6">
        <v>218</v>
      </c>
      <c r="E101" s="6">
        <f t="shared" si="4"/>
        <v>1028.3333333333333</v>
      </c>
      <c r="F101" s="6">
        <f t="shared" si="5"/>
        <v>60</v>
      </c>
      <c r="G101" s="6">
        <v>301695</v>
      </c>
      <c r="H101" s="7">
        <v>4.68</v>
      </c>
      <c r="I101" s="8">
        <v>22373</v>
      </c>
    </row>
    <row r="102" spans="1:9" x14ac:dyDescent="0.2">
      <c r="A102" s="4">
        <v>45621</v>
      </c>
      <c r="B102" s="5" t="s">
        <v>7</v>
      </c>
      <c r="C102" s="6">
        <v>1854</v>
      </c>
      <c r="D102" s="6">
        <v>161</v>
      </c>
      <c r="E102" s="6">
        <f t="shared" si="4"/>
        <v>1041</v>
      </c>
      <c r="F102" s="6">
        <f t="shared" si="5"/>
        <v>1693</v>
      </c>
      <c r="G102" s="6">
        <v>282466</v>
      </c>
      <c r="H102" s="7">
        <v>5.17</v>
      </c>
      <c r="I102" s="8">
        <v>1810</v>
      </c>
    </row>
    <row r="103" spans="1:9" x14ac:dyDescent="0.2">
      <c r="A103" s="4">
        <v>45621</v>
      </c>
      <c r="B103" s="5" t="s">
        <v>8</v>
      </c>
      <c r="C103" s="6">
        <v>1710</v>
      </c>
      <c r="D103" s="6">
        <v>378</v>
      </c>
      <c r="E103" s="6">
        <f t="shared" si="4"/>
        <v>771.66666666666663</v>
      </c>
      <c r="F103" s="6">
        <f t="shared" si="5"/>
        <v>1332</v>
      </c>
      <c r="G103" s="6">
        <v>336661</v>
      </c>
      <c r="H103" s="7">
        <v>6.2</v>
      </c>
      <c r="I103" s="8">
        <v>28498</v>
      </c>
    </row>
    <row r="104" spans="1:9" x14ac:dyDescent="0.2">
      <c r="A104" s="4">
        <v>45621</v>
      </c>
      <c r="B104" s="5" t="s">
        <v>9</v>
      </c>
      <c r="C104" s="6">
        <v>330</v>
      </c>
      <c r="D104" s="6">
        <v>232</v>
      </c>
      <c r="E104" s="6">
        <f t="shared" si="4"/>
        <v>869.33333333333337</v>
      </c>
      <c r="F104" s="6">
        <f t="shared" si="5"/>
        <v>98</v>
      </c>
      <c r="G104" s="6">
        <v>88455</v>
      </c>
      <c r="H104" s="7">
        <v>2.69</v>
      </c>
      <c r="I104" s="8">
        <v>39530</v>
      </c>
    </row>
    <row r="105" spans="1:9" x14ac:dyDescent="0.2">
      <c r="A105" s="4">
        <v>45621</v>
      </c>
      <c r="B105" s="5" t="s">
        <v>10</v>
      </c>
      <c r="C105" s="6">
        <v>1293</v>
      </c>
      <c r="D105" s="6">
        <v>408</v>
      </c>
      <c r="E105" s="6">
        <f t="shared" si="4"/>
        <v>1405.3333333333333</v>
      </c>
      <c r="F105" s="6">
        <f t="shared" si="5"/>
        <v>885</v>
      </c>
      <c r="G105" s="6">
        <v>62535</v>
      </c>
      <c r="H105" s="7">
        <v>8.9</v>
      </c>
      <c r="I105" s="8">
        <v>37876</v>
      </c>
    </row>
    <row r="106" spans="1:9" x14ac:dyDescent="0.2">
      <c r="A106" s="4">
        <v>45628</v>
      </c>
      <c r="B106" s="5" t="s">
        <v>7</v>
      </c>
      <c r="C106" s="6">
        <v>1696</v>
      </c>
      <c r="D106" s="6">
        <v>71</v>
      </c>
      <c r="E106" s="6">
        <f t="shared" si="4"/>
        <v>1501.3333333333333</v>
      </c>
      <c r="F106" s="6">
        <f t="shared" si="5"/>
        <v>1625</v>
      </c>
      <c r="G106" s="6">
        <v>421957</v>
      </c>
      <c r="H106" s="7">
        <v>3.79</v>
      </c>
      <c r="I106" s="8">
        <v>36103</v>
      </c>
    </row>
    <row r="107" spans="1:9" x14ac:dyDescent="0.2">
      <c r="A107" s="4">
        <v>45628</v>
      </c>
      <c r="B107" s="5" t="s">
        <v>8</v>
      </c>
      <c r="C107" s="6">
        <v>1902</v>
      </c>
      <c r="D107" s="6">
        <v>196</v>
      </c>
      <c r="E107" s="6">
        <f t="shared" si="4"/>
        <v>1056.6666666666667</v>
      </c>
      <c r="F107" s="6">
        <f t="shared" si="5"/>
        <v>1706</v>
      </c>
      <c r="G107" s="6">
        <v>470269</v>
      </c>
      <c r="H107" s="7">
        <v>4.79</v>
      </c>
      <c r="I107" s="8">
        <v>26103</v>
      </c>
    </row>
    <row r="108" spans="1:9" x14ac:dyDescent="0.2">
      <c r="A108" s="4">
        <v>45628</v>
      </c>
      <c r="B108" s="5" t="s">
        <v>9</v>
      </c>
      <c r="C108" s="6">
        <v>1441</v>
      </c>
      <c r="D108" s="6">
        <v>268</v>
      </c>
      <c r="E108" s="6">
        <f t="shared" si="4"/>
        <v>861</v>
      </c>
      <c r="F108" s="6">
        <f t="shared" si="5"/>
        <v>1173</v>
      </c>
      <c r="G108" s="6">
        <v>309904</v>
      </c>
      <c r="H108" s="7">
        <v>6.37</v>
      </c>
      <c r="I108" s="8">
        <v>3455</v>
      </c>
    </row>
    <row r="109" spans="1:9" x14ac:dyDescent="0.2">
      <c r="A109" s="4">
        <v>45628</v>
      </c>
      <c r="B109" s="5" t="s">
        <v>10</v>
      </c>
      <c r="C109" s="6">
        <v>452</v>
      </c>
      <c r="D109" s="6">
        <v>161</v>
      </c>
      <c r="E109" s="6">
        <f t="shared" si="4"/>
        <v>927.66666666666663</v>
      </c>
      <c r="F109" s="6">
        <f t="shared" si="5"/>
        <v>291</v>
      </c>
      <c r="G109" s="6">
        <v>221274</v>
      </c>
      <c r="H109" s="7">
        <v>2.65</v>
      </c>
      <c r="I109" s="8">
        <v>40888</v>
      </c>
    </row>
    <row r="110" spans="1:9" x14ac:dyDescent="0.2">
      <c r="A110" s="4">
        <v>45635</v>
      </c>
      <c r="B110" s="5" t="s">
        <v>7</v>
      </c>
      <c r="C110" s="6">
        <v>1494</v>
      </c>
      <c r="D110" s="6">
        <v>375</v>
      </c>
      <c r="E110" s="6">
        <f t="shared" si="4"/>
        <v>1406.3333333333333</v>
      </c>
      <c r="F110" s="6">
        <f t="shared" si="5"/>
        <v>1119</v>
      </c>
      <c r="G110" s="6">
        <v>220616</v>
      </c>
      <c r="H110" s="7">
        <v>1.81</v>
      </c>
      <c r="I110" s="8">
        <v>22724</v>
      </c>
    </row>
    <row r="111" spans="1:9" x14ac:dyDescent="0.2">
      <c r="A111" s="4">
        <v>45635</v>
      </c>
      <c r="B111" s="5" t="s">
        <v>8</v>
      </c>
      <c r="C111" s="6">
        <v>1514</v>
      </c>
      <c r="D111" s="6">
        <v>141</v>
      </c>
      <c r="E111" s="6">
        <f t="shared" si="4"/>
        <v>1224.3333333333333</v>
      </c>
      <c r="F111" s="6">
        <f t="shared" si="5"/>
        <v>1373</v>
      </c>
      <c r="G111" s="6">
        <v>35842</v>
      </c>
      <c r="H111" s="7">
        <v>7.47</v>
      </c>
      <c r="I111" s="8">
        <v>18601</v>
      </c>
    </row>
    <row r="112" spans="1:9" x14ac:dyDescent="0.2">
      <c r="A112" s="4">
        <v>45635</v>
      </c>
      <c r="B112" s="5" t="s">
        <v>9</v>
      </c>
      <c r="C112" s="6">
        <v>1937</v>
      </c>
      <c r="D112" s="6">
        <v>210</v>
      </c>
      <c r="E112" s="6">
        <f t="shared" si="4"/>
        <v>1244</v>
      </c>
      <c r="F112" s="6">
        <f t="shared" si="5"/>
        <v>1727</v>
      </c>
      <c r="G112" s="6">
        <v>20607</v>
      </c>
      <c r="H112" s="7">
        <v>4.2</v>
      </c>
      <c r="I112" s="8">
        <v>20861</v>
      </c>
    </row>
    <row r="113" spans="1:9" x14ac:dyDescent="0.2">
      <c r="A113" s="4">
        <v>45635</v>
      </c>
      <c r="B113" s="5" t="s">
        <v>10</v>
      </c>
      <c r="C113" s="6">
        <v>736</v>
      </c>
      <c r="D113" s="6">
        <v>163</v>
      </c>
      <c r="E113" s="6">
        <f t="shared" si="4"/>
        <v>1127.3333333333333</v>
      </c>
      <c r="F113" s="6">
        <f t="shared" si="5"/>
        <v>573</v>
      </c>
      <c r="G113" s="6">
        <v>451894</v>
      </c>
      <c r="H113" s="7">
        <v>5.43</v>
      </c>
      <c r="I113" s="8">
        <v>46625</v>
      </c>
    </row>
    <row r="114" spans="1:9" x14ac:dyDescent="0.2">
      <c r="A114" s="4">
        <v>45642</v>
      </c>
      <c r="B114" s="5" t="s">
        <v>7</v>
      </c>
      <c r="C114" s="6">
        <v>1502</v>
      </c>
      <c r="D114" s="6">
        <v>70</v>
      </c>
      <c r="E114" s="6">
        <f t="shared" si="4"/>
        <v>1389.3333333333333</v>
      </c>
      <c r="F114" s="6">
        <f t="shared" si="5"/>
        <v>1432</v>
      </c>
      <c r="G114" s="6">
        <v>465553</v>
      </c>
      <c r="H114" s="7">
        <v>3.32</v>
      </c>
      <c r="I114" s="8">
        <v>20692</v>
      </c>
    </row>
    <row r="115" spans="1:9" x14ac:dyDescent="0.2">
      <c r="A115" s="4">
        <v>45642</v>
      </c>
      <c r="B115" s="5" t="s">
        <v>8</v>
      </c>
      <c r="C115" s="6">
        <v>1623</v>
      </c>
      <c r="D115" s="6">
        <v>246</v>
      </c>
      <c r="E115" s="6">
        <f t="shared" si="4"/>
        <v>1204</v>
      </c>
      <c r="F115" s="6">
        <f t="shared" si="5"/>
        <v>1377</v>
      </c>
      <c r="G115" s="6">
        <v>415815</v>
      </c>
      <c r="H115" s="7">
        <v>8.11</v>
      </c>
      <c r="I115" s="8">
        <v>18656</v>
      </c>
    </row>
    <row r="116" spans="1:9" x14ac:dyDescent="0.2">
      <c r="A116" s="4">
        <v>45642</v>
      </c>
      <c r="B116" s="5" t="s">
        <v>9</v>
      </c>
      <c r="C116" s="6">
        <v>1592</v>
      </c>
      <c r="D116" s="6">
        <v>233</v>
      </c>
      <c r="E116" s="6">
        <f t="shared" si="4"/>
        <v>973</v>
      </c>
      <c r="F116" s="6">
        <f t="shared" si="5"/>
        <v>1359</v>
      </c>
      <c r="G116" s="6">
        <v>327183</v>
      </c>
      <c r="H116" s="7">
        <v>6.66</v>
      </c>
      <c r="I116" s="8">
        <v>13316</v>
      </c>
    </row>
    <row r="117" spans="1:9" x14ac:dyDescent="0.2">
      <c r="A117" s="4">
        <v>45642</v>
      </c>
      <c r="B117" s="5" t="s">
        <v>10</v>
      </c>
      <c r="C117" s="6">
        <v>1004</v>
      </c>
      <c r="D117" s="6">
        <v>128</v>
      </c>
      <c r="E117" s="6">
        <f t="shared" si="4"/>
        <v>763.33333333333337</v>
      </c>
      <c r="F117" s="6">
        <f t="shared" si="5"/>
        <v>876</v>
      </c>
      <c r="G117" s="6">
        <v>488901</v>
      </c>
      <c r="H117" s="7">
        <v>8.09</v>
      </c>
      <c r="I117" s="8">
        <v>49558</v>
      </c>
    </row>
    <row r="118" spans="1:9" x14ac:dyDescent="0.2">
      <c r="A118" s="4">
        <v>45649</v>
      </c>
      <c r="B118" s="5" t="s">
        <v>7</v>
      </c>
      <c r="C118" s="6">
        <v>1092</v>
      </c>
      <c r="D118" s="6">
        <v>408</v>
      </c>
      <c r="E118" s="6">
        <f t="shared" si="4"/>
        <v>775</v>
      </c>
      <c r="F118" s="6">
        <f t="shared" si="5"/>
        <v>684</v>
      </c>
      <c r="G118" s="6">
        <v>280795</v>
      </c>
      <c r="H118" s="7">
        <v>8.44</v>
      </c>
      <c r="I118" s="8">
        <v>4683</v>
      </c>
    </row>
    <row r="119" spans="1:9" x14ac:dyDescent="0.2">
      <c r="A119" s="4">
        <v>45649</v>
      </c>
      <c r="B119" s="5" t="s">
        <v>8</v>
      </c>
      <c r="C119" s="6">
        <v>1155</v>
      </c>
      <c r="D119" s="6">
        <v>425</v>
      </c>
      <c r="E119" s="6">
        <f t="shared" si="4"/>
        <v>1076.6666666666667</v>
      </c>
      <c r="F119" s="6">
        <f t="shared" si="5"/>
        <v>730</v>
      </c>
      <c r="G119" s="6">
        <v>93347</v>
      </c>
      <c r="H119" s="7">
        <v>2.02</v>
      </c>
      <c r="I119" s="8">
        <v>47502</v>
      </c>
    </row>
    <row r="120" spans="1:9" x14ac:dyDescent="0.2">
      <c r="A120" s="4">
        <v>45649</v>
      </c>
      <c r="B120" s="5" t="s">
        <v>9</v>
      </c>
      <c r="C120" s="6">
        <v>1137</v>
      </c>
      <c r="D120" s="6">
        <v>226</v>
      </c>
      <c r="E120" s="6">
        <f t="shared" si="4"/>
        <v>1421.6666666666667</v>
      </c>
      <c r="F120" s="6">
        <f t="shared" si="5"/>
        <v>911</v>
      </c>
      <c r="G120" s="6">
        <v>81119</v>
      </c>
      <c r="H120" s="7">
        <v>7.74</v>
      </c>
      <c r="I120" s="8">
        <v>35359</v>
      </c>
    </row>
    <row r="121" spans="1:9" x14ac:dyDescent="0.2">
      <c r="A121" s="4">
        <v>45649</v>
      </c>
      <c r="B121" s="5" t="s">
        <v>10</v>
      </c>
      <c r="C121" s="6">
        <v>1900</v>
      </c>
      <c r="D121" s="6">
        <v>311</v>
      </c>
      <c r="E121" s="6">
        <f t="shared" si="4"/>
        <v>1710</v>
      </c>
      <c r="F121" s="6">
        <f t="shared" si="5"/>
        <v>1589</v>
      </c>
      <c r="G121" s="6">
        <v>25177</v>
      </c>
      <c r="H121" s="7">
        <v>2.89</v>
      </c>
      <c r="I121" s="8">
        <v>14154</v>
      </c>
    </row>
    <row r="122" spans="1:9" x14ac:dyDescent="0.2">
      <c r="A122" s="4">
        <v>45656</v>
      </c>
      <c r="B122" s="5" t="s">
        <v>7</v>
      </c>
      <c r="C122" s="6">
        <v>1814</v>
      </c>
      <c r="D122" s="6">
        <v>49</v>
      </c>
      <c r="E122" s="6">
        <f t="shared" si="4"/>
        <v>1690</v>
      </c>
      <c r="F122" s="6">
        <f t="shared" si="5"/>
        <v>1765</v>
      </c>
      <c r="G122" s="6">
        <v>140804</v>
      </c>
      <c r="H122" s="7">
        <v>1.76</v>
      </c>
      <c r="I122" s="8">
        <v>4313</v>
      </c>
    </row>
    <row r="123" spans="1:9" x14ac:dyDescent="0.2">
      <c r="A123" s="4">
        <v>45656</v>
      </c>
      <c r="B123" s="5" t="s">
        <v>8</v>
      </c>
      <c r="C123" s="6">
        <v>1980</v>
      </c>
      <c r="D123" s="6">
        <v>204</v>
      </c>
      <c r="E123" s="6">
        <f t="shared" si="4"/>
        <v>1588.3333333333333</v>
      </c>
      <c r="F123" s="6">
        <f t="shared" si="5"/>
        <v>1776</v>
      </c>
      <c r="G123" s="6">
        <v>379431</v>
      </c>
      <c r="H123" s="7">
        <v>3.09</v>
      </c>
      <c r="I123" s="8">
        <v>25140</v>
      </c>
    </row>
    <row r="124" spans="1:9" x14ac:dyDescent="0.2">
      <c r="A124" s="4">
        <v>45656</v>
      </c>
      <c r="B124" s="5" t="s">
        <v>9</v>
      </c>
      <c r="C124" s="6">
        <v>1786</v>
      </c>
      <c r="D124" s="6">
        <v>257</v>
      </c>
      <c r="E124" s="6">
        <f t="shared" si="4"/>
        <v>1297.3333333333333</v>
      </c>
      <c r="F124" s="6">
        <f t="shared" si="5"/>
        <v>1529</v>
      </c>
      <c r="G124" s="6">
        <v>274831</v>
      </c>
      <c r="H124" s="7">
        <v>4.68</v>
      </c>
      <c r="I124" s="8">
        <v>9118</v>
      </c>
    </row>
    <row r="125" spans="1:9" x14ac:dyDescent="0.2">
      <c r="A125" s="4">
        <v>45656</v>
      </c>
      <c r="B125" s="5" t="s">
        <v>10</v>
      </c>
      <c r="C125" s="6">
        <v>1495</v>
      </c>
      <c r="D125" s="6">
        <v>35</v>
      </c>
      <c r="E125" s="6">
        <f t="shared" si="4"/>
        <v>994.33333333333337</v>
      </c>
      <c r="F125" s="6">
        <f t="shared" si="5"/>
        <v>1460</v>
      </c>
      <c r="G125" s="6">
        <v>136845</v>
      </c>
      <c r="H125" s="7">
        <v>4.4800000000000004</v>
      </c>
      <c r="I125" s="8">
        <v>39931</v>
      </c>
    </row>
    <row r="126" spans="1:9" x14ac:dyDescent="0.2">
      <c r="A126" s="4">
        <v>45663</v>
      </c>
      <c r="B126" s="5" t="s">
        <v>7</v>
      </c>
      <c r="C126" s="6">
        <v>1013</v>
      </c>
      <c r="D126" s="6">
        <v>110</v>
      </c>
      <c r="E126" s="6">
        <f t="shared" si="4"/>
        <v>903.66666666666663</v>
      </c>
      <c r="F126" s="6">
        <f t="shared" si="5"/>
        <v>903</v>
      </c>
      <c r="G126" s="6">
        <v>466382</v>
      </c>
      <c r="H126" s="7">
        <v>5.3</v>
      </c>
      <c r="I126" s="8">
        <v>37132</v>
      </c>
    </row>
    <row r="127" spans="1:9" x14ac:dyDescent="0.2">
      <c r="A127" s="4">
        <v>45663</v>
      </c>
      <c r="B127" s="5" t="s">
        <v>8</v>
      </c>
      <c r="C127" s="6">
        <v>816</v>
      </c>
      <c r="D127" s="6">
        <v>196</v>
      </c>
      <c r="E127" s="6">
        <f t="shared" si="4"/>
        <v>884.66666666666663</v>
      </c>
      <c r="F127" s="6">
        <f t="shared" si="5"/>
        <v>620</v>
      </c>
      <c r="G127" s="6">
        <v>95728</v>
      </c>
      <c r="H127" s="7">
        <v>8.1999999999999993</v>
      </c>
      <c r="I127" s="8">
        <v>17951</v>
      </c>
    </row>
    <row r="128" spans="1:9" x14ac:dyDescent="0.2">
      <c r="A128" s="4">
        <v>45663</v>
      </c>
      <c r="B128" s="5" t="s">
        <v>9</v>
      </c>
      <c r="C128" s="6">
        <v>1633</v>
      </c>
      <c r="D128" s="6">
        <v>445</v>
      </c>
      <c r="E128" s="6">
        <f t="shared" si="4"/>
        <v>1252</v>
      </c>
      <c r="F128" s="6">
        <f t="shared" si="5"/>
        <v>1188</v>
      </c>
      <c r="G128" s="6">
        <v>371156</v>
      </c>
      <c r="H128" s="7">
        <v>2.2200000000000002</v>
      </c>
      <c r="I128" s="8">
        <v>2798</v>
      </c>
    </row>
    <row r="129" spans="1:9" x14ac:dyDescent="0.2">
      <c r="A129" s="4">
        <v>45663</v>
      </c>
      <c r="B129" s="5" t="s">
        <v>10</v>
      </c>
      <c r="C129" s="6">
        <v>891</v>
      </c>
      <c r="D129" s="6">
        <v>45</v>
      </c>
      <c r="E129" s="6">
        <f t="shared" si="4"/>
        <v>955.33333333333337</v>
      </c>
      <c r="F129" s="6">
        <f t="shared" si="5"/>
        <v>846</v>
      </c>
      <c r="G129" s="6">
        <v>95410</v>
      </c>
      <c r="H129" s="7">
        <v>8.33</v>
      </c>
      <c r="I129" s="8">
        <v>15045</v>
      </c>
    </row>
    <row r="130" spans="1:9" x14ac:dyDescent="0.2">
      <c r="A130" s="4">
        <v>45670</v>
      </c>
      <c r="B130" s="5" t="s">
        <v>7</v>
      </c>
      <c r="C130" s="6">
        <v>1855</v>
      </c>
      <c r="D130" s="6">
        <v>133</v>
      </c>
      <c r="E130" s="6">
        <f t="shared" si="4"/>
        <v>625.33333333333337</v>
      </c>
      <c r="F130" s="6">
        <f t="shared" si="5"/>
        <v>1722</v>
      </c>
      <c r="G130" s="6">
        <v>349413</v>
      </c>
      <c r="H130" s="7">
        <v>3.3</v>
      </c>
      <c r="I130" s="8">
        <v>14548</v>
      </c>
    </row>
    <row r="131" spans="1:9" x14ac:dyDescent="0.2">
      <c r="A131" s="4">
        <v>45670</v>
      </c>
      <c r="B131" s="5" t="s">
        <v>8</v>
      </c>
      <c r="C131" s="6">
        <v>651</v>
      </c>
      <c r="D131" s="6">
        <v>353</v>
      </c>
      <c r="E131" s="6">
        <f t="shared" ref="E131:E194" si="6">AVERAGE(F131:F133)</f>
        <v>351.66666666666669</v>
      </c>
      <c r="F131" s="6">
        <f t="shared" ref="F131:F194" si="7">C131-D131</f>
        <v>298</v>
      </c>
      <c r="G131" s="6">
        <v>224699</v>
      </c>
      <c r="H131" s="7">
        <v>5.61</v>
      </c>
      <c r="I131" s="8">
        <v>45708</v>
      </c>
    </row>
    <row r="132" spans="1:9" x14ac:dyDescent="0.2">
      <c r="A132" s="4">
        <v>45670</v>
      </c>
      <c r="B132" s="5" t="s">
        <v>9</v>
      </c>
      <c r="C132" s="6">
        <v>118</v>
      </c>
      <c r="D132" s="6">
        <v>262</v>
      </c>
      <c r="E132" s="6">
        <f t="shared" si="6"/>
        <v>776.33333333333337</v>
      </c>
      <c r="F132" s="6">
        <f t="shared" si="7"/>
        <v>-144</v>
      </c>
      <c r="G132" s="6">
        <v>487896</v>
      </c>
      <c r="H132" s="7">
        <v>2.56</v>
      </c>
      <c r="I132" s="8">
        <v>12350</v>
      </c>
    </row>
    <row r="133" spans="1:9" x14ac:dyDescent="0.2">
      <c r="A133" s="4">
        <v>45670</v>
      </c>
      <c r="B133" s="5" t="s">
        <v>10</v>
      </c>
      <c r="C133" s="6">
        <v>1331</v>
      </c>
      <c r="D133" s="6">
        <v>430</v>
      </c>
      <c r="E133" s="6">
        <f t="shared" si="6"/>
        <v>966.66666666666663</v>
      </c>
      <c r="F133" s="6">
        <f t="shared" si="7"/>
        <v>901</v>
      </c>
      <c r="G133" s="6">
        <v>14437</v>
      </c>
      <c r="H133" s="7">
        <v>3.29</v>
      </c>
      <c r="I133" s="8">
        <v>40868</v>
      </c>
    </row>
    <row r="134" spans="1:9" x14ac:dyDescent="0.2">
      <c r="A134" s="4">
        <v>45677</v>
      </c>
      <c r="B134" s="5" t="s">
        <v>7</v>
      </c>
      <c r="C134" s="6">
        <v>1748</v>
      </c>
      <c r="D134" s="6">
        <v>176</v>
      </c>
      <c r="E134" s="6">
        <f t="shared" si="6"/>
        <v>963.33333333333337</v>
      </c>
      <c r="F134" s="6">
        <f t="shared" si="7"/>
        <v>1572</v>
      </c>
      <c r="G134" s="6">
        <v>383681</v>
      </c>
      <c r="H134" s="7">
        <v>9.24</v>
      </c>
      <c r="I134" s="8">
        <v>43122</v>
      </c>
    </row>
    <row r="135" spans="1:9" x14ac:dyDescent="0.2">
      <c r="A135" s="4">
        <v>45677</v>
      </c>
      <c r="B135" s="5" t="s">
        <v>8</v>
      </c>
      <c r="C135" s="6">
        <v>663</v>
      </c>
      <c r="D135" s="6">
        <v>236</v>
      </c>
      <c r="E135" s="6">
        <f t="shared" si="6"/>
        <v>680.66666666666663</v>
      </c>
      <c r="F135" s="6">
        <f t="shared" si="7"/>
        <v>427</v>
      </c>
      <c r="G135" s="6">
        <v>479490</v>
      </c>
      <c r="H135" s="7">
        <v>4.51</v>
      </c>
      <c r="I135" s="8">
        <v>23853</v>
      </c>
    </row>
    <row r="136" spans="1:9" x14ac:dyDescent="0.2">
      <c r="A136" s="4">
        <v>45677</v>
      </c>
      <c r="B136" s="5" t="s">
        <v>9</v>
      </c>
      <c r="C136" s="6">
        <v>1040</v>
      </c>
      <c r="D136" s="6">
        <v>149</v>
      </c>
      <c r="E136" s="6">
        <f t="shared" si="6"/>
        <v>483</v>
      </c>
      <c r="F136" s="6">
        <f t="shared" si="7"/>
        <v>891</v>
      </c>
      <c r="G136" s="6">
        <v>124404</v>
      </c>
      <c r="H136" s="7">
        <v>5.23</v>
      </c>
      <c r="I136" s="8">
        <v>45380</v>
      </c>
    </row>
    <row r="137" spans="1:9" x14ac:dyDescent="0.2">
      <c r="A137" s="4">
        <v>45677</v>
      </c>
      <c r="B137" s="5" t="s">
        <v>10</v>
      </c>
      <c r="C137" s="6">
        <v>1166</v>
      </c>
      <c r="D137" s="6">
        <v>442</v>
      </c>
      <c r="E137" s="6">
        <f t="shared" si="6"/>
        <v>485.33333333333331</v>
      </c>
      <c r="F137" s="6">
        <f t="shared" si="7"/>
        <v>724</v>
      </c>
      <c r="G137" s="6">
        <v>336949</v>
      </c>
      <c r="H137" s="7">
        <v>4.68</v>
      </c>
      <c r="I137" s="8">
        <v>7705</v>
      </c>
    </row>
    <row r="138" spans="1:9" x14ac:dyDescent="0.2">
      <c r="A138" s="4">
        <v>45684</v>
      </c>
      <c r="B138" s="5" t="s">
        <v>7</v>
      </c>
      <c r="C138" s="6">
        <v>115</v>
      </c>
      <c r="D138" s="6">
        <v>281</v>
      </c>
      <c r="E138" s="6">
        <f t="shared" si="6"/>
        <v>719.33333333333337</v>
      </c>
      <c r="F138" s="6">
        <f t="shared" si="7"/>
        <v>-166</v>
      </c>
      <c r="G138" s="6">
        <v>357265</v>
      </c>
      <c r="H138" s="7">
        <v>9.23</v>
      </c>
      <c r="I138" s="8">
        <v>25525</v>
      </c>
    </row>
    <row r="139" spans="1:9" x14ac:dyDescent="0.2">
      <c r="A139" s="4">
        <v>45684</v>
      </c>
      <c r="B139" s="5" t="s">
        <v>8</v>
      </c>
      <c r="C139" s="6">
        <v>1249</v>
      </c>
      <c r="D139" s="6">
        <v>351</v>
      </c>
      <c r="E139" s="6">
        <f t="shared" si="6"/>
        <v>1183</v>
      </c>
      <c r="F139" s="6">
        <f t="shared" si="7"/>
        <v>898</v>
      </c>
      <c r="G139" s="6">
        <v>321307</v>
      </c>
      <c r="H139" s="7">
        <v>6.37</v>
      </c>
      <c r="I139" s="8">
        <v>20560</v>
      </c>
    </row>
    <row r="140" spans="1:9" x14ac:dyDescent="0.2">
      <c r="A140" s="4">
        <v>45684</v>
      </c>
      <c r="B140" s="5" t="s">
        <v>9</v>
      </c>
      <c r="C140" s="6">
        <v>1501</v>
      </c>
      <c r="D140" s="6">
        <v>75</v>
      </c>
      <c r="E140" s="6">
        <f t="shared" si="6"/>
        <v>1243.6666666666667</v>
      </c>
      <c r="F140" s="6">
        <f t="shared" si="7"/>
        <v>1426</v>
      </c>
      <c r="G140" s="6">
        <v>262569</v>
      </c>
      <c r="H140" s="7">
        <v>2.0099999999999998</v>
      </c>
      <c r="I140" s="8">
        <v>19119</v>
      </c>
    </row>
    <row r="141" spans="1:9" x14ac:dyDescent="0.2">
      <c r="A141" s="4">
        <v>45684</v>
      </c>
      <c r="B141" s="5" t="s">
        <v>10</v>
      </c>
      <c r="C141" s="6">
        <v>1411</v>
      </c>
      <c r="D141" s="6">
        <v>186</v>
      </c>
      <c r="E141" s="6">
        <f t="shared" si="6"/>
        <v>1017.6666666666666</v>
      </c>
      <c r="F141" s="6">
        <f t="shared" si="7"/>
        <v>1225</v>
      </c>
      <c r="G141" s="6">
        <v>461669</v>
      </c>
      <c r="H141" s="7">
        <v>3.72</v>
      </c>
      <c r="I141" s="8">
        <v>43999</v>
      </c>
    </row>
    <row r="142" spans="1:9" x14ac:dyDescent="0.2">
      <c r="A142" s="4">
        <v>45691</v>
      </c>
      <c r="B142" s="5" t="s">
        <v>7</v>
      </c>
      <c r="C142" s="6">
        <v>1556</v>
      </c>
      <c r="D142" s="6">
        <v>476</v>
      </c>
      <c r="E142" s="6">
        <f t="shared" si="6"/>
        <v>799</v>
      </c>
      <c r="F142" s="6">
        <f t="shared" si="7"/>
        <v>1080</v>
      </c>
      <c r="G142" s="6">
        <v>351556</v>
      </c>
      <c r="H142" s="7">
        <v>3.89</v>
      </c>
      <c r="I142" s="8">
        <v>10825</v>
      </c>
    </row>
    <row r="143" spans="1:9" x14ac:dyDescent="0.2">
      <c r="A143" s="4">
        <v>45691</v>
      </c>
      <c r="B143" s="5" t="s">
        <v>8</v>
      </c>
      <c r="C143" s="6">
        <v>1159</v>
      </c>
      <c r="D143" s="6">
        <v>411</v>
      </c>
      <c r="E143" s="6">
        <f t="shared" si="6"/>
        <v>371.33333333333331</v>
      </c>
      <c r="F143" s="6">
        <f t="shared" si="7"/>
        <v>748</v>
      </c>
      <c r="G143" s="6">
        <v>135987</v>
      </c>
      <c r="H143" s="7">
        <v>8.6999999999999993</v>
      </c>
      <c r="I143" s="8">
        <v>40323</v>
      </c>
    </row>
    <row r="144" spans="1:9" x14ac:dyDescent="0.2">
      <c r="A144" s="4">
        <v>45691</v>
      </c>
      <c r="B144" s="5" t="s">
        <v>9</v>
      </c>
      <c r="C144" s="6">
        <v>927</v>
      </c>
      <c r="D144" s="6">
        <v>358</v>
      </c>
      <c r="E144" s="6">
        <f t="shared" si="6"/>
        <v>696.33333333333337</v>
      </c>
      <c r="F144" s="6">
        <f t="shared" si="7"/>
        <v>569</v>
      </c>
      <c r="G144" s="6">
        <v>177554</v>
      </c>
      <c r="H144" s="7">
        <v>6.95</v>
      </c>
      <c r="I144" s="8">
        <v>48270</v>
      </c>
    </row>
    <row r="145" spans="1:9" x14ac:dyDescent="0.2">
      <c r="A145" s="4">
        <v>45691</v>
      </c>
      <c r="B145" s="5" t="s">
        <v>10</v>
      </c>
      <c r="C145" s="6">
        <v>152</v>
      </c>
      <c r="D145" s="6">
        <v>355</v>
      </c>
      <c r="E145" s="6">
        <f t="shared" si="6"/>
        <v>810.66666666666663</v>
      </c>
      <c r="F145" s="6">
        <f t="shared" si="7"/>
        <v>-203</v>
      </c>
      <c r="G145" s="6">
        <v>270766</v>
      </c>
      <c r="H145" s="7">
        <v>9.48</v>
      </c>
      <c r="I145" s="8">
        <v>18001</v>
      </c>
    </row>
    <row r="146" spans="1:9" x14ac:dyDescent="0.2">
      <c r="A146" s="4">
        <v>45698</v>
      </c>
      <c r="B146" s="5" t="s">
        <v>7</v>
      </c>
      <c r="C146" s="6">
        <v>1957</v>
      </c>
      <c r="D146" s="6">
        <v>234</v>
      </c>
      <c r="E146" s="6">
        <f t="shared" si="6"/>
        <v>1279</v>
      </c>
      <c r="F146" s="6">
        <f t="shared" si="7"/>
        <v>1723</v>
      </c>
      <c r="G146" s="6">
        <v>222126</v>
      </c>
      <c r="H146" s="7">
        <v>4.6100000000000003</v>
      </c>
      <c r="I146" s="8">
        <v>3314</v>
      </c>
    </row>
    <row r="147" spans="1:9" x14ac:dyDescent="0.2">
      <c r="A147" s="4">
        <v>45698</v>
      </c>
      <c r="B147" s="5" t="s">
        <v>8</v>
      </c>
      <c r="C147" s="6">
        <v>1294</v>
      </c>
      <c r="D147" s="6">
        <v>382</v>
      </c>
      <c r="E147" s="6">
        <f t="shared" si="6"/>
        <v>1186</v>
      </c>
      <c r="F147" s="6">
        <f t="shared" si="7"/>
        <v>912</v>
      </c>
      <c r="G147" s="6">
        <v>309914</v>
      </c>
      <c r="H147" s="7">
        <v>8.0299999999999994</v>
      </c>
      <c r="I147" s="8">
        <v>23489</v>
      </c>
    </row>
    <row r="148" spans="1:9" x14ac:dyDescent="0.2">
      <c r="A148" s="4">
        <v>45698</v>
      </c>
      <c r="B148" s="5" t="s">
        <v>9</v>
      </c>
      <c r="C148" s="6">
        <v>1587</v>
      </c>
      <c r="D148" s="6">
        <v>385</v>
      </c>
      <c r="E148" s="6">
        <f t="shared" si="6"/>
        <v>1203.6666666666667</v>
      </c>
      <c r="F148" s="6">
        <f t="shared" si="7"/>
        <v>1202</v>
      </c>
      <c r="G148" s="6">
        <v>126582</v>
      </c>
      <c r="H148" s="7">
        <v>6.99</v>
      </c>
      <c r="I148" s="8">
        <v>42832</v>
      </c>
    </row>
    <row r="149" spans="1:9" x14ac:dyDescent="0.2">
      <c r="A149" s="4">
        <v>45698</v>
      </c>
      <c r="B149" s="5" t="s">
        <v>10</v>
      </c>
      <c r="C149" s="6">
        <v>1707</v>
      </c>
      <c r="D149" s="6">
        <v>263</v>
      </c>
      <c r="E149" s="6">
        <f t="shared" si="6"/>
        <v>1333</v>
      </c>
      <c r="F149" s="6">
        <f t="shared" si="7"/>
        <v>1444</v>
      </c>
      <c r="G149" s="6">
        <v>485280</v>
      </c>
      <c r="H149" s="7">
        <v>9.0299999999999994</v>
      </c>
      <c r="I149" s="8">
        <v>24494</v>
      </c>
    </row>
    <row r="150" spans="1:9" x14ac:dyDescent="0.2">
      <c r="A150" s="4">
        <v>45705</v>
      </c>
      <c r="B150" s="5" t="s">
        <v>7</v>
      </c>
      <c r="C150" s="6">
        <v>1138</v>
      </c>
      <c r="D150" s="6">
        <v>173</v>
      </c>
      <c r="E150" s="6">
        <f t="shared" si="6"/>
        <v>839.33333333333337</v>
      </c>
      <c r="F150" s="6">
        <f t="shared" si="7"/>
        <v>965</v>
      </c>
      <c r="G150" s="6">
        <v>453243</v>
      </c>
      <c r="H150" s="7">
        <v>2.86</v>
      </c>
      <c r="I150" s="8">
        <v>44097</v>
      </c>
    </row>
    <row r="151" spans="1:9" x14ac:dyDescent="0.2">
      <c r="A151" s="4">
        <v>45705</v>
      </c>
      <c r="B151" s="5" t="s">
        <v>8</v>
      </c>
      <c r="C151" s="6">
        <v>1895</v>
      </c>
      <c r="D151" s="6">
        <v>305</v>
      </c>
      <c r="E151" s="6">
        <f t="shared" si="6"/>
        <v>909.33333333333337</v>
      </c>
      <c r="F151" s="6">
        <f t="shared" si="7"/>
        <v>1590</v>
      </c>
      <c r="G151" s="6">
        <v>104967</v>
      </c>
      <c r="H151" s="7">
        <v>3.85</v>
      </c>
      <c r="I151" s="8">
        <v>31853</v>
      </c>
    </row>
    <row r="152" spans="1:9" x14ac:dyDescent="0.2">
      <c r="A152" s="4">
        <v>45705</v>
      </c>
      <c r="B152" s="5" t="s">
        <v>9</v>
      </c>
      <c r="C152" s="6">
        <v>362</v>
      </c>
      <c r="D152" s="6">
        <v>399</v>
      </c>
      <c r="E152" s="6">
        <f t="shared" si="6"/>
        <v>837.66666666666663</v>
      </c>
      <c r="F152" s="6">
        <f t="shared" si="7"/>
        <v>-37</v>
      </c>
      <c r="G152" s="6">
        <v>145608</v>
      </c>
      <c r="H152" s="7">
        <v>7.3</v>
      </c>
      <c r="I152" s="8">
        <v>37636</v>
      </c>
    </row>
    <row r="153" spans="1:9" x14ac:dyDescent="0.2">
      <c r="A153" s="4">
        <v>45705</v>
      </c>
      <c r="B153" s="5" t="s">
        <v>10</v>
      </c>
      <c r="C153" s="6">
        <v>1662</v>
      </c>
      <c r="D153" s="6">
        <v>487</v>
      </c>
      <c r="E153" s="6">
        <f t="shared" si="6"/>
        <v>1419</v>
      </c>
      <c r="F153" s="6">
        <f t="shared" si="7"/>
        <v>1175</v>
      </c>
      <c r="G153" s="6">
        <v>105980</v>
      </c>
      <c r="H153" s="7">
        <v>9.08</v>
      </c>
      <c r="I153" s="8">
        <v>22996</v>
      </c>
    </row>
    <row r="154" spans="1:9" x14ac:dyDescent="0.2">
      <c r="A154" s="4">
        <v>45712</v>
      </c>
      <c r="B154" s="5" t="s">
        <v>7</v>
      </c>
      <c r="C154" s="6">
        <v>1440</v>
      </c>
      <c r="D154" s="6">
        <v>65</v>
      </c>
      <c r="E154" s="6">
        <f t="shared" si="6"/>
        <v>1263.3333333333333</v>
      </c>
      <c r="F154" s="6">
        <f t="shared" si="7"/>
        <v>1375</v>
      </c>
      <c r="G154" s="6">
        <v>126524</v>
      </c>
      <c r="H154" s="7">
        <v>4.34</v>
      </c>
      <c r="I154" s="8">
        <v>49772</v>
      </c>
    </row>
    <row r="155" spans="1:9" x14ac:dyDescent="0.2">
      <c r="A155" s="4">
        <v>45712</v>
      </c>
      <c r="B155" s="5" t="s">
        <v>8</v>
      </c>
      <c r="C155" s="6">
        <v>1884</v>
      </c>
      <c r="D155" s="6">
        <v>177</v>
      </c>
      <c r="E155" s="6">
        <f t="shared" si="6"/>
        <v>1143.6666666666667</v>
      </c>
      <c r="F155" s="6">
        <f t="shared" si="7"/>
        <v>1707</v>
      </c>
      <c r="G155" s="6">
        <v>230448</v>
      </c>
      <c r="H155" s="7">
        <v>7.8</v>
      </c>
      <c r="I155" s="8">
        <v>22713</v>
      </c>
    </row>
    <row r="156" spans="1:9" x14ac:dyDescent="0.2">
      <c r="A156" s="4">
        <v>45712</v>
      </c>
      <c r="B156" s="5" t="s">
        <v>9</v>
      </c>
      <c r="C156" s="6">
        <v>861</v>
      </c>
      <c r="D156" s="6">
        <v>153</v>
      </c>
      <c r="E156" s="6">
        <f t="shared" si="6"/>
        <v>1013</v>
      </c>
      <c r="F156" s="6">
        <f t="shared" si="7"/>
        <v>708</v>
      </c>
      <c r="G156" s="6">
        <v>317007</v>
      </c>
      <c r="H156" s="7">
        <v>3.85</v>
      </c>
      <c r="I156" s="8">
        <v>8718</v>
      </c>
    </row>
    <row r="157" spans="1:9" x14ac:dyDescent="0.2">
      <c r="A157" s="4">
        <v>45712</v>
      </c>
      <c r="B157" s="5" t="s">
        <v>10</v>
      </c>
      <c r="C157" s="6">
        <v>1063</v>
      </c>
      <c r="D157" s="6">
        <v>47</v>
      </c>
      <c r="E157" s="6">
        <f t="shared" si="6"/>
        <v>737.33333333333337</v>
      </c>
      <c r="F157" s="6">
        <f t="shared" si="7"/>
        <v>1016</v>
      </c>
      <c r="G157" s="6">
        <v>464239</v>
      </c>
      <c r="H157" s="7">
        <v>6.58</v>
      </c>
      <c r="I157" s="8">
        <v>39031</v>
      </c>
    </row>
    <row r="158" spans="1:9" x14ac:dyDescent="0.2">
      <c r="A158" s="4">
        <v>45719</v>
      </c>
      <c r="B158" s="5" t="s">
        <v>7</v>
      </c>
      <c r="C158" s="6">
        <v>1371</v>
      </c>
      <c r="D158" s="6">
        <v>56</v>
      </c>
      <c r="E158" s="6">
        <f t="shared" si="6"/>
        <v>698.33333333333337</v>
      </c>
      <c r="F158" s="6">
        <f t="shared" si="7"/>
        <v>1315</v>
      </c>
      <c r="G158" s="6">
        <v>257579</v>
      </c>
      <c r="H158" s="7">
        <v>8.6199999999999992</v>
      </c>
      <c r="I158" s="8">
        <v>33799</v>
      </c>
    </row>
    <row r="159" spans="1:9" x14ac:dyDescent="0.2">
      <c r="A159" s="4">
        <v>45719</v>
      </c>
      <c r="B159" s="5" t="s">
        <v>8</v>
      </c>
      <c r="C159" s="6">
        <v>345</v>
      </c>
      <c r="D159" s="6">
        <v>464</v>
      </c>
      <c r="E159" s="6">
        <f t="shared" si="6"/>
        <v>365</v>
      </c>
      <c r="F159" s="6">
        <f t="shared" si="7"/>
        <v>-119</v>
      </c>
      <c r="G159" s="6">
        <v>366881</v>
      </c>
      <c r="H159" s="7">
        <v>4.55</v>
      </c>
      <c r="I159" s="8">
        <v>20553</v>
      </c>
    </row>
    <row r="160" spans="1:9" x14ac:dyDescent="0.2">
      <c r="A160" s="4">
        <v>45719</v>
      </c>
      <c r="B160" s="5" t="s">
        <v>9</v>
      </c>
      <c r="C160" s="6">
        <v>946</v>
      </c>
      <c r="D160" s="6">
        <v>47</v>
      </c>
      <c r="E160" s="6">
        <f t="shared" si="6"/>
        <v>475.33333333333331</v>
      </c>
      <c r="F160" s="6">
        <f t="shared" si="7"/>
        <v>899</v>
      </c>
      <c r="G160" s="6">
        <v>466575</v>
      </c>
      <c r="H160" s="7">
        <v>8.33</v>
      </c>
      <c r="I160" s="8">
        <v>10002</v>
      </c>
    </row>
    <row r="161" spans="1:9" x14ac:dyDescent="0.2">
      <c r="A161" s="4">
        <v>45719</v>
      </c>
      <c r="B161" s="5" t="s">
        <v>10</v>
      </c>
      <c r="C161" s="6">
        <v>510</v>
      </c>
      <c r="D161" s="6">
        <v>195</v>
      </c>
      <c r="E161" s="6">
        <f t="shared" si="6"/>
        <v>478.33333333333331</v>
      </c>
      <c r="F161" s="6">
        <f t="shared" si="7"/>
        <v>315</v>
      </c>
      <c r="G161" s="6">
        <v>224534</v>
      </c>
      <c r="H161" s="7">
        <v>9.4</v>
      </c>
      <c r="I161" s="8">
        <v>30987</v>
      </c>
    </row>
    <row r="162" spans="1:9" x14ac:dyDescent="0.2">
      <c r="A162" s="4">
        <v>45726</v>
      </c>
      <c r="B162" s="5" t="s">
        <v>7</v>
      </c>
      <c r="C162" s="6">
        <v>393</v>
      </c>
      <c r="D162" s="6">
        <v>181</v>
      </c>
      <c r="E162" s="6">
        <f t="shared" si="6"/>
        <v>823.33333333333337</v>
      </c>
      <c r="F162" s="6">
        <f t="shared" si="7"/>
        <v>212</v>
      </c>
      <c r="G162" s="6">
        <v>462142</v>
      </c>
      <c r="H162" s="7">
        <v>7.23</v>
      </c>
      <c r="I162" s="8">
        <v>6296</v>
      </c>
    </row>
    <row r="163" spans="1:9" x14ac:dyDescent="0.2">
      <c r="A163" s="4">
        <v>45726</v>
      </c>
      <c r="B163" s="5" t="s">
        <v>8</v>
      </c>
      <c r="C163" s="6">
        <v>1098</v>
      </c>
      <c r="D163" s="6">
        <v>190</v>
      </c>
      <c r="E163" s="6">
        <f t="shared" si="6"/>
        <v>1166.6666666666667</v>
      </c>
      <c r="F163" s="6">
        <f t="shared" si="7"/>
        <v>908</v>
      </c>
      <c r="G163" s="6">
        <v>340842</v>
      </c>
      <c r="H163" s="7">
        <v>9.39</v>
      </c>
      <c r="I163" s="8">
        <v>21539</v>
      </c>
    </row>
    <row r="164" spans="1:9" x14ac:dyDescent="0.2">
      <c r="A164" s="4">
        <v>45726</v>
      </c>
      <c r="B164" s="5" t="s">
        <v>9</v>
      </c>
      <c r="C164" s="6">
        <v>1399</v>
      </c>
      <c r="D164" s="6">
        <v>49</v>
      </c>
      <c r="E164" s="6">
        <f t="shared" si="6"/>
        <v>1090.6666666666667</v>
      </c>
      <c r="F164" s="6">
        <f t="shared" si="7"/>
        <v>1350</v>
      </c>
      <c r="G164" s="6">
        <v>12471</v>
      </c>
      <c r="H164" s="7">
        <v>5.12</v>
      </c>
      <c r="I164" s="8">
        <v>14722</v>
      </c>
    </row>
    <row r="165" spans="1:9" x14ac:dyDescent="0.2">
      <c r="A165" s="4">
        <v>45726</v>
      </c>
      <c r="B165" s="5" t="s">
        <v>10</v>
      </c>
      <c r="C165" s="6">
        <v>1658</v>
      </c>
      <c r="D165" s="6">
        <v>416</v>
      </c>
      <c r="E165" s="6">
        <f t="shared" si="6"/>
        <v>1012.6666666666666</v>
      </c>
      <c r="F165" s="6">
        <f t="shared" si="7"/>
        <v>1242</v>
      </c>
      <c r="G165" s="6">
        <v>98397</v>
      </c>
      <c r="H165" s="7">
        <v>6.11</v>
      </c>
      <c r="I165" s="8">
        <v>11383</v>
      </c>
    </row>
    <row r="166" spans="1:9" x14ac:dyDescent="0.2">
      <c r="A166" s="4">
        <v>45733</v>
      </c>
      <c r="B166" s="5" t="s">
        <v>7</v>
      </c>
      <c r="C166" s="6">
        <v>1102</v>
      </c>
      <c r="D166" s="6">
        <v>422</v>
      </c>
      <c r="E166" s="6">
        <f t="shared" si="6"/>
        <v>885.66666666666663</v>
      </c>
      <c r="F166" s="6">
        <f t="shared" si="7"/>
        <v>680</v>
      </c>
      <c r="G166" s="6">
        <v>410330</v>
      </c>
      <c r="H166" s="7">
        <v>7.74</v>
      </c>
      <c r="I166" s="8">
        <v>9480</v>
      </c>
    </row>
    <row r="167" spans="1:9" x14ac:dyDescent="0.2">
      <c r="A167" s="4">
        <v>45733</v>
      </c>
      <c r="B167" s="5" t="s">
        <v>8</v>
      </c>
      <c r="C167" s="6">
        <v>1358</v>
      </c>
      <c r="D167" s="6">
        <v>242</v>
      </c>
      <c r="E167" s="6">
        <f t="shared" si="6"/>
        <v>1120.6666666666667</v>
      </c>
      <c r="F167" s="6">
        <f t="shared" si="7"/>
        <v>1116</v>
      </c>
      <c r="G167" s="6">
        <v>342129</v>
      </c>
      <c r="H167" s="7">
        <v>4.9400000000000004</v>
      </c>
      <c r="I167" s="8">
        <v>29116</v>
      </c>
    </row>
    <row r="168" spans="1:9" x14ac:dyDescent="0.2">
      <c r="A168" s="4">
        <v>45733</v>
      </c>
      <c r="B168" s="5" t="s">
        <v>9</v>
      </c>
      <c r="C168" s="6">
        <v>1077</v>
      </c>
      <c r="D168" s="6">
        <v>216</v>
      </c>
      <c r="E168" s="6">
        <f t="shared" si="6"/>
        <v>902.33333333333337</v>
      </c>
      <c r="F168" s="6">
        <f t="shared" si="7"/>
        <v>861</v>
      </c>
      <c r="G168" s="6">
        <v>12447</v>
      </c>
      <c r="H168" s="7">
        <v>1.8</v>
      </c>
      <c r="I168" s="8">
        <v>14068</v>
      </c>
    </row>
    <row r="169" spans="1:9" x14ac:dyDescent="0.2">
      <c r="A169" s="4">
        <v>45733</v>
      </c>
      <c r="B169" s="5" t="s">
        <v>10</v>
      </c>
      <c r="C169" s="6">
        <v>1596</v>
      </c>
      <c r="D169" s="6">
        <v>211</v>
      </c>
      <c r="E169" s="6">
        <f t="shared" si="6"/>
        <v>773.33333333333337</v>
      </c>
      <c r="F169" s="6">
        <f t="shared" si="7"/>
        <v>1385</v>
      </c>
      <c r="G169" s="6">
        <v>17380</v>
      </c>
      <c r="H169" s="7">
        <v>8.64</v>
      </c>
      <c r="I169" s="8">
        <v>35801</v>
      </c>
    </row>
    <row r="170" spans="1:9" x14ac:dyDescent="0.2">
      <c r="A170" s="4">
        <v>45740</v>
      </c>
      <c r="B170" s="5" t="s">
        <v>7</v>
      </c>
      <c r="C170" s="6">
        <v>490</v>
      </c>
      <c r="D170" s="6">
        <v>29</v>
      </c>
      <c r="E170" s="6">
        <f t="shared" si="6"/>
        <v>409</v>
      </c>
      <c r="F170" s="6">
        <f t="shared" si="7"/>
        <v>461</v>
      </c>
      <c r="G170" s="6">
        <v>364810</v>
      </c>
      <c r="H170" s="7">
        <v>1.53</v>
      </c>
      <c r="I170" s="8">
        <v>49077</v>
      </c>
    </row>
    <row r="171" spans="1:9" x14ac:dyDescent="0.2">
      <c r="A171" s="4">
        <v>45740</v>
      </c>
      <c r="B171" s="5" t="s">
        <v>8</v>
      </c>
      <c r="C171" s="6">
        <v>609</v>
      </c>
      <c r="D171" s="6">
        <v>135</v>
      </c>
      <c r="E171" s="6">
        <f t="shared" si="6"/>
        <v>385</v>
      </c>
      <c r="F171" s="6">
        <f t="shared" si="7"/>
        <v>474</v>
      </c>
      <c r="G171" s="6">
        <v>373606</v>
      </c>
      <c r="H171" s="7">
        <v>8.52</v>
      </c>
      <c r="I171" s="8">
        <v>21453</v>
      </c>
    </row>
    <row r="172" spans="1:9" x14ac:dyDescent="0.2">
      <c r="A172" s="4">
        <v>45740</v>
      </c>
      <c r="B172" s="5" t="s">
        <v>9</v>
      </c>
      <c r="C172" s="6">
        <v>364</v>
      </c>
      <c r="D172" s="6">
        <v>72</v>
      </c>
      <c r="E172" s="6">
        <f t="shared" si="6"/>
        <v>440.66666666666669</v>
      </c>
      <c r="F172" s="6">
        <f t="shared" si="7"/>
        <v>292</v>
      </c>
      <c r="G172" s="6">
        <v>211090</v>
      </c>
      <c r="H172" s="7">
        <v>5.53</v>
      </c>
      <c r="I172" s="8">
        <v>21061</v>
      </c>
    </row>
    <row r="173" spans="1:9" x14ac:dyDescent="0.2">
      <c r="A173" s="4">
        <v>45740</v>
      </c>
      <c r="B173" s="5" t="s">
        <v>10</v>
      </c>
      <c r="C173" s="6">
        <v>442</v>
      </c>
      <c r="D173" s="6">
        <v>53</v>
      </c>
      <c r="E173" s="6">
        <f t="shared" si="6"/>
        <v>514.66666666666663</v>
      </c>
      <c r="F173" s="6">
        <f t="shared" si="7"/>
        <v>389</v>
      </c>
      <c r="G173" s="6">
        <v>441931</v>
      </c>
      <c r="H173" s="7">
        <v>1.87</v>
      </c>
      <c r="I173" s="8">
        <v>20059</v>
      </c>
    </row>
    <row r="174" spans="1:9" x14ac:dyDescent="0.2">
      <c r="A174" s="4">
        <v>45747</v>
      </c>
      <c r="B174" s="5" t="s">
        <v>7</v>
      </c>
      <c r="C174" s="6">
        <v>1033</v>
      </c>
      <c r="D174" s="6">
        <v>392</v>
      </c>
      <c r="E174" s="6">
        <f t="shared" si="6"/>
        <v>943.66666666666663</v>
      </c>
      <c r="F174" s="6">
        <f t="shared" si="7"/>
        <v>641</v>
      </c>
      <c r="G174" s="6">
        <v>282780</v>
      </c>
      <c r="H174" s="7">
        <v>6.27</v>
      </c>
      <c r="I174" s="8">
        <v>23140</v>
      </c>
    </row>
    <row r="175" spans="1:9" x14ac:dyDescent="0.2">
      <c r="A175" s="4">
        <v>45747</v>
      </c>
      <c r="B175" s="5" t="s">
        <v>8</v>
      </c>
      <c r="C175" s="6">
        <v>988</v>
      </c>
      <c r="D175" s="6">
        <v>474</v>
      </c>
      <c r="E175" s="6">
        <f t="shared" si="6"/>
        <v>1219</v>
      </c>
      <c r="F175" s="6">
        <f t="shared" si="7"/>
        <v>514</v>
      </c>
      <c r="G175" s="6">
        <v>370070</v>
      </c>
      <c r="H175" s="7">
        <v>9.4600000000000009</v>
      </c>
      <c r="I175" s="8">
        <v>23461</v>
      </c>
    </row>
    <row r="176" spans="1:9" x14ac:dyDescent="0.2">
      <c r="A176" s="4">
        <v>45747</v>
      </c>
      <c r="B176" s="5" t="s">
        <v>9</v>
      </c>
      <c r="C176" s="6">
        <v>1946</v>
      </c>
      <c r="D176" s="6">
        <v>270</v>
      </c>
      <c r="E176" s="6">
        <f t="shared" si="6"/>
        <v>1103.3333333333333</v>
      </c>
      <c r="F176" s="6">
        <f t="shared" si="7"/>
        <v>1676</v>
      </c>
      <c r="G176" s="6">
        <v>198350</v>
      </c>
      <c r="H176" s="7">
        <v>7.5</v>
      </c>
      <c r="I176" s="8">
        <v>11805</v>
      </c>
    </row>
    <row r="177" spans="1:9" x14ac:dyDescent="0.2">
      <c r="A177" s="4">
        <v>45747</v>
      </c>
      <c r="B177" s="5" t="s">
        <v>10</v>
      </c>
      <c r="C177" s="6">
        <v>1957</v>
      </c>
      <c r="D177" s="6">
        <v>490</v>
      </c>
      <c r="E177" s="6">
        <f t="shared" si="6"/>
        <v>887.66666666666663</v>
      </c>
      <c r="F177" s="6">
        <f t="shared" si="7"/>
        <v>1467</v>
      </c>
      <c r="G177" s="6">
        <v>435726</v>
      </c>
      <c r="H177" s="7">
        <v>4.7300000000000004</v>
      </c>
      <c r="I177" s="8">
        <v>15969</v>
      </c>
    </row>
    <row r="178" spans="1:9" x14ac:dyDescent="0.2">
      <c r="A178" s="4">
        <v>45754</v>
      </c>
      <c r="B178" s="5" t="s">
        <v>7</v>
      </c>
      <c r="C178" s="6">
        <v>559</v>
      </c>
      <c r="D178" s="6">
        <v>392</v>
      </c>
      <c r="E178" s="6">
        <f t="shared" si="6"/>
        <v>734.33333333333337</v>
      </c>
      <c r="F178" s="6">
        <f t="shared" si="7"/>
        <v>167</v>
      </c>
      <c r="G178" s="6">
        <v>78789</v>
      </c>
      <c r="H178" s="7">
        <v>3.19</v>
      </c>
      <c r="I178" s="8">
        <v>2436</v>
      </c>
    </row>
    <row r="179" spans="1:9" x14ac:dyDescent="0.2">
      <c r="A179" s="4">
        <v>45754</v>
      </c>
      <c r="B179" s="5" t="s">
        <v>8</v>
      </c>
      <c r="C179" s="6">
        <v>1307</v>
      </c>
      <c r="D179" s="6">
        <v>278</v>
      </c>
      <c r="E179" s="6">
        <f t="shared" si="6"/>
        <v>748.33333333333337</v>
      </c>
      <c r="F179" s="6">
        <f t="shared" si="7"/>
        <v>1029</v>
      </c>
      <c r="G179" s="6">
        <v>98596</v>
      </c>
      <c r="H179" s="7">
        <v>2.4900000000000002</v>
      </c>
      <c r="I179" s="8">
        <v>47603</v>
      </c>
    </row>
    <row r="180" spans="1:9" x14ac:dyDescent="0.2">
      <c r="A180" s="4">
        <v>45754</v>
      </c>
      <c r="B180" s="5" t="s">
        <v>9</v>
      </c>
      <c r="C180" s="6">
        <v>1432</v>
      </c>
      <c r="D180" s="6">
        <v>425</v>
      </c>
      <c r="E180" s="6">
        <f t="shared" si="6"/>
        <v>352</v>
      </c>
      <c r="F180" s="6">
        <f t="shared" si="7"/>
        <v>1007</v>
      </c>
      <c r="G180" s="6">
        <v>29589</v>
      </c>
      <c r="H180" s="7">
        <v>4.5</v>
      </c>
      <c r="I180" s="8">
        <v>42964</v>
      </c>
    </row>
    <row r="181" spans="1:9" x14ac:dyDescent="0.2">
      <c r="A181" s="4">
        <v>45754</v>
      </c>
      <c r="B181" s="5" t="s">
        <v>10</v>
      </c>
      <c r="C181" s="6">
        <v>623</v>
      </c>
      <c r="D181" s="6">
        <v>414</v>
      </c>
      <c r="E181" s="6">
        <f t="shared" si="6"/>
        <v>-42</v>
      </c>
      <c r="F181" s="6">
        <f t="shared" si="7"/>
        <v>209</v>
      </c>
      <c r="G181" s="6">
        <v>290354</v>
      </c>
      <c r="H181" s="7">
        <v>6.49</v>
      </c>
      <c r="I181" s="8">
        <v>39923</v>
      </c>
    </row>
    <row r="182" spans="1:9" x14ac:dyDescent="0.2">
      <c r="A182" s="4">
        <v>45761</v>
      </c>
      <c r="B182" s="5" t="s">
        <v>7</v>
      </c>
      <c r="C182" s="6">
        <v>198</v>
      </c>
      <c r="D182" s="6">
        <v>358</v>
      </c>
      <c r="E182" s="6">
        <f t="shared" si="6"/>
        <v>-94</v>
      </c>
      <c r="F182" s="6">
        <f t="shared" si="7"/>
        <v>-160</v>
      </c>
      <c r="G182" s="6">
        <v>66682</v>
      </c>
      <c r="H182" s="7">
        <v>6.73</v>
      </c>
      <c r="I182" s="8">
        <v>2293</v>
      </c>
    </row>
    <row r="183" spans="1:9" x14ac:dyDescent="0.2">
      <c r="A183" s="4">
        <v>45761</v>
      </c>
      <c r="B183" s="5" t="s">
        <v>8</v>
      </c>
      <c r="C183" s="6">
        <v>198</v>
      </c>
      <c r="D183" s="6">
        <v>373</v>
      </c>
      <c r="E183" s="6">
        <f t="shared" si="6"/>
        <v>7.666666666666667</v>
      </c>
      <c r="F183" s="6">
        <f t="shared" si="7"/>
        <v>-175</v>
      </c>
      <c r="G183" s="6">
        <v>70707</v>
      </c>
      <c r="H183" s="7">
        <v>4.83</v>
      </c>
      <c r="I183" s="8">
        <v>25920</v>
      </c>
    </row>
    <row r="184" spans="1:9" x14ac:dyDescent="0.2">
      <c r="A184" s="4">
        <v>45761</v>
      </c>
      <c r="B184" s="5" t="s">
        <v>9</v>
      </c>
      <c r="C184" s="6">
        <v>353</v>
      </c>
      <c r="D184" s="6">
        <v>300</v>
      </c>
      <c r="E184" s="6">
        <f t="shared" si="6"/>
        <v>267</v>
      </c>
      <c r="F184" s="6">
        <f t="shared" si="7"/>
        <v>53</v>
      </c>
      <c r="G184" s="6">
        <v>142507</v>
      </c>
      <c r="H184" s="7">
        <v>5.3</v>
      </c>
      <c r="I184" s="8">
        <v>11035</v>
      </c>
    </row>
    <row r="185" spans="1:9" x14ac:dyDescent="0.2">
      <c r="A185" s="4">
        <v>45761</v>
      </c>
      <c r="B185" s="5" t="s">
        <v>10</v>
      </c>
      <c r="C185" s="6">
        <v>520</v>
      </c>
      <c r="D185" s="6">
        <v>375</v>
      </c>
      <c r="E185" s="6">
        <f t="shared" si="6"/>
        <v>597.66666666666663</v>
      </c>
      <c r="F185" s="6">
        <f t="shared" si="7"/>
        <v>145</v>
      </c>
      <c r="G185" s="6">
        <v>369525</v>
      </c>
      <c r="H185" s="7">
        <v>6.54</v>
      </c>
      <c r="I185" s="8">
        <v>20733</v>
      </c>
    </row>
    <row r="186" spans="1:9" x14ac:dyDescent="0.2">
      <c r="A186" s="4">
        <v>45768</v>
      </c>
      <c r="B186" s="5" t="s">
        <v>7</v>
      </c>
      <c r="C186" s="6">
        <v>961</v>
      </c>
      <c r="D186" s="6">
        <v>358</v>
      </c>
      <c r="E186" s="6">
        <f t="shared" si="6"/>
        <v>802.33333333333337</v>
      </c>
      <c r="F186" s="6">
        <f t="shared" si="7"/>
        <v>603</v>
      </c>
      <c r="G186" s="6">
        <v>62942</v>
      </c>
      <c r="H186" s="7">
        <v>6.8</v>
      </c>
      <c r="I186" s="8">
        <v>18693</v>
      </c>
    </row>
    <row r="187" spans="1:9" x14ac:dyDescent="0.2">
      <c r="A187" s="4">
        <v>45768</v>
      </c>
      <c r="B187" s="5" t="s">
        <v>8</v>
      </c>
      <c r="C187" s="6">
        <v>1375</v>
      </c>
      <c r="D187" s="6">
        <v>330</v>
      </c>
      <c r="E187" s="6">
        <f t="shared" si="6"/>
        <v>1145.6666666666667</v>
      </c>
      <c r="F187" s="6">
        <f t="shared" si="7"/>
        <v>1045</v>
      </c>
      <c r="G187" s="6">
        <v>377382</v>
      </c>
      <c r="H187" s="7">
        <v>2.6</v>
      </c>
      <c r="I187" s="8">
        <v>7875</v>
      </c>
    </row>
    <row r="188" spans="1:9" x14ac:dyDescent="0.2">
      <c r="A188" s="4">
        <v>45768</v>
      </c>
      <c r="B188" s="5" t="s">
        <v>9</v>
      </c>
      <c r="C188" s="6">
        <v>1147</v>
      </c>
      <c r="D188" s="6">
        <v>388</v>
      </c>
      <c r="E188" s="6">
        <f t="shared" si="6"/>
        <v>1310.3333333333333</v>
      </c>
      <c r="F188" s="6">
        <f t="shared" si="7"/>
        <v>759</v>
      </c>
      <c r="G188" s="6">
        <v>333851</v>
      </c>
      <c r="H188" s="7">
        <v>2.44</v>
      </c>
      <c r="I188" s="8">
        <v>8471</v>
      </c>
    </row>
    <row r="189" spans="1:9" x14ac:dyDescent="0.2">
      <c r="A189" s="4">
        <v>45768</v>
      </c>
      <c r="B189" s="5" t="s">
        <v>10</v>
      </c>
      <c r="C189" s="6">
        <v>1707</v>
      </c>
      <c r="D189" s="6">
        <v>74</v>
      </c>
      <c r="E189" s="6">
        <f t="shared" si="6"/>
        <v>1208.3333333333333</v>
      </c>
      <c r="F189" s="6">
        <f t="shared" si="7"/>
        <v>1633</v>
      </c>
      <c r="G189" s="6">
        <v>270958</v>
      </c>
      <c r="H189" s="7">
        <v>3.09</v>
      </c>
      <c r="I189" s="8">
        <v>14090</v>
      </c>
    </row>
    <row r="190" spans="1:9" x14ac:dyDescent="0.2">
      <c r="A190" s="4">
        <v>45775</v>
      </c>
      <c r="B190" s="5" t="s">
        <v>7</v>
      </c>
      <c r="C190" s="6">
        <v>1693</v>
      </c>
      <c r="D190" s="6">
        <v>154</v>
      </c>
      <c r="E190" s="6">
        <f t="shared" si="6"/>
        <v>980</v>
      </c>
      <c r="F190" s="6">
        <f t="shared" si="7"/>
        <v>1539</v>
      </c>
      <c r="G190" s="6">
        <v>445944</v>
      </c>
      <c r="H190" s="7">
        <v>5.69</v>
      </c>
      <c r="I190" s="8">
        <v>14216</v>
      </c>
    </row>
    <row r="191" spans="1:9" x14ac:dyDescent="0.2">
      <c r="A191" s="4">
        <v>45775</v>
      </c>
      <c r="B191" s="5" t="s">
        <v>8</v>
      </c>
      <c r="C191" s="6">
        <v>833</v>
      </c>
      <c r="D191" s="6">
        <v>380</v>
      </c>
      <c r="E191" s="6">
        <f t="shared" si="6"/>
        <v>679.33333333333337</v>
      </c>
      <c r="F191" s="6">
        <f t="shared" si="7"/>
        <v>453</v>
      </c>
      <c r="G191" s="6">
        <v>224830</v>
      </c>
      <c r="H191" s="7">
        <v>3.86</v>
      </c>
      <c r="I191" s="8">
        <v>3582</v>
      </c>
    </row>
    <row r="192" spans="1:9" x14ac:dyDescent="0.2">
      <c r="A192" s="4">
        <v>45775</v>
      </c>
      <c r="B192" s="5" t="s">
        <v>9</v>
      </c>
      <c r="C192" s="6">
        <v>1222</v>
      </c>
      <c r="D192" s="6">
        <v>274</v>
      </c>
      <c r="E192" s="6">
        <f t="shared" si="6"/>
        <v>1155.3333333333333</v>
      </c>
      <c r="F192" s="6">
        <f t="shared" si="7"/>
        <v>948</v>
      </c>
      <c r="G192" s="6">
        <v>487289</v>
      </c>
      <c r="H192" s="7">
        <v>3.16</v>
      </c>
      <c r="I192" s="8">
        <v>32500</v>
      </c>
    </row>
    <row r="193" spans="1:9" x14ac:dyDescent="0.2">
      <c r="A193" s="4">
        <v>45775</v>
      </c>
      <c r="B193" s="5" t="s">
        <v>10</v>
      </c>
      <c r="C193" s="6">
        <v>777</v>
      </c>
      <c r="D193" s="6">
        <v>140</v>
      </c>
      <c r="E193" s="6">
        <f t="shared" si="6"/>
        <v>952.33333333333337</v>
      </c>
      <c r="F193" s="6">
        <f t="shared" si="7"/>
        <v>637</v>
      </c>
      <c r="G193" s="6">
        <v>11435</v>
      </c>
      <c r="H193" s="7">
        <v>1.6</v>
      </c>
      <c r="I193" s="8">
        <v>6832</v>
      </c>
    </row>
    <row r="194" spans="1:9" x14ac:dyDescent="0.2">
      <c r="A194" s="4">
        <v>45782</v>
      </c>
      <c r="B194" s="5" t="s">
        <v>7</v>
      </c>
      <c r="C194" s="6">
        <v>1957</v>
      </c>
      <c r="D194" s="6">
        <v>76</v>
      </c>
      <c r="E194" s="6">
        <f t="shared" si="6"/>
        <v>1243.3333333333333</v>
      </c>
      <c r="F194" s="6">
        <f t="shared" si="7"/>
        <v>1881</v>
      </c>
      <c r="G194" s="6">
        <v>447902</v>
      </c>
      <c r="H194" s="7">
        <v>6.09</v>
      </c>
      <c r="I194" s="8">
        <v>33381</v>
      </c>
    </row>
    <row r="195" spans="1:9" x14ac:dyDescent="0.2">
      <c r="A195" s="4">
        <v>45782</v>
      </c>
      <c r="B195" s="5" t="s">
        <v>8</v>
      </c>
      <c r="C195" s="6">
        <v>405</v>
      </c>
      <c r="D195" s="6">
        <v>66</v>
      </c>
      <c r="E195" s="6">
        <f t="shared" ref="E195:E201" si="8">AVERAGE(F195:F197)</f>
        <v>904.33333333333337</v>
      </c>
      <c r="F195" s="6">
        <f t="shared" ref="F195:F201" si="9">C195-D195</f>
        <v>339</v>
      </c>
      <c r="G195" s="6">
        <v>418696</v>
      </c>
      <c r="H195" s="7">
        <v>5.59</v>
      </c>
      <c r="I195" s="8">
        <v>48419</v>
      </c>
    </row>
    <row r="196" spans="1:9" x14ac:dyDescent="0.2">
      <c r="A196" s="4">
        <v>45782</v>
      </c>
      <c r="B196" s="5" t="s">
        <v>9</v>
      </c>
      <c r="C196" s="6">
        <v>1581</v>
      </c>
      <c r="D196" s="6">
        <v>71</v>
      </c>
      <c r="E196" s="6">
        <f t="shared" si="8"/>
        <v>1343.3333333333333</v>
      </c>
      <c r="F196" s="6">
        <f t="shared" si="9"/>
        <v>1510</v>
      </c>
      <c r="G196" s="6">
        <v>484364</v>
      </c>
      <c r="H196" s="7">
        <v>3.55</v>
      </c>
      <c r="I196" s="8">
        <v>16149</v>
      </c>
    </row>
    <row r="197" spans="1:9" x14ac:dyDescent="0.2">
      <c r="A197" s="4">
        <v>45782</v>
      </c>
      <c r="B197" s="5" t="s">
        <v>10</v>
      </c>
      <c r="C197" s="6">
        <v>1035</v>
      </c>
      <c r="D197" s="6">
        <v>171</v>
      </c>
      <c r="E197" s="6">
        <f t="shared" si="8"/>
        <v>975.66666666666663</v>
      </c>
      <c r="F197" s="6">
        <f t="shared" si="9"/>
        <v>864</v>
      </c>
      <c r="G197" s="6">
        <v>148477</v>
      </c>
      <c r="H197" s="7">
        <v>5.21</v>
      </c>
      <c r="I197" s="8">
        <v>7541</v>
      </c>
    </row>
    <row r="198" spans="1:9" x14ac:dyDescent="0.2">
      <c r="A198" s="4">
        <v>45789</v>
      </c>
      <c r="B198" s="5" t="s">
        <v>7</v>
      </c>
      <c r="C198" s="6">
        <v>1765</v>
      </c>
      <c r="D198" s="6">
        <v>109</v>
      </c>
      <c r="E198" s="6">
        <f t="shared" si="8"/>
        <v>777.33333333333337</v>
      </c>
      <c r="F198" s="6">
        <f t="shared" si="9"/>
        <v>1656</v>
      </c>
      <c r="G198" s="6">
        <v>468301</v>
      </c>
      <c r="H198" s="7">
        <v>1.82</v>
      </c>
      <c r="I198" s="8">
        <v>20042</v>
      </c>
    </row>
    <row r="199" spans="1:9" x14ac:dyDescent="0.2">
      <c r="A199" s="4">
        <v>45789</v>
      </c>
      <c r="B199" s="5" t="s">
        <v>8</v>
      </c>
      <c r="C199" s="6">
        <v>837</v>
      </c>
      <c r="D199" s="6">
        <v>430</v>
      </c>
      <c r="E199" s="6">
        <f t="shared" si="8"/>
        <v>113</v>
      </c>
      <c r="F199" s="6">
        <f t="shared" si="9"/>
        <v>407</v>
      </c>
      <c r="G199" s="6">
        <v>364820</v>
      </c>
      <c r="H199" s="7">
        <v>4</v>
      </c>
      <c r="I199" s="8">
        <v>49400</v>
      </c>
    </row>
    <row r="200" spans="1:9" x14ac:dyDescent="0.2">
      <c r="A200" s="4">
        <v>45789</v>
      </c>
      <c r="B200" s="5" t="s">
        <v>9</v>
      </c>
      <c r="C200" s="6">
        <v>337</v>
      </c>
      <c r="D200" s="6">
        <v>68</v>
      </c>
      <c r="E200" s="6">
        <f t="shared" si="8"/>
        <v>-34</v>
      </c>
      <c r="F200" s="6">
        <f t="shared" si="9"/>
        <v>269</v>
      </c>
      <c r="G200" s="6">
        <v>456298</v>
      </c>
      <c r="H200" s="7">
        <v>7.57</v>
      </c>
      <c r="I200" s="8">
        <v>4007</v>
      </c>
    </row>
    <row r="201" spans="1:9" x14ac:dyDescent="0.2">
      <c r="A201" s="4">
        <v>45789</v>
      </c>
      <c r="B201" s="5" t="s">
        <v>10</v>
      </c>
      <c r="C201" s="6">
        <v>119</v>
      </c>
      <c r="D201" s="6">
        <v>456</v>
      </c>
      <c r="E201" s="6">
        <f t="shared" si="8"/>
        <v>-337</v>
      </c>
      <c r="F201" s="6">
        <f t="shared" si="9"/>
        <v>-337</v>
      </c>
      <c r="G201" s="6">
        <v>82558</v>
      </c>
      <c r="H201" s="7">
        <v>6.81</v>
      </c>
      <c r="I201" s="8">
        <v>12174</v>
      </c>
    </row>
  </sheetData>
  <mergeCells count="2">
    <mergeCell ref="J34:K34"/>
    <mergeCell ref="J39:K39"/>
  </mergeCells>
  <hyperlinks>
    <hyperlink ref="K51" r:id="rId1" xr:uid="{BF3246AB-CCAD-3542-A9F6-A241BC8FA6DD}"/>
    <hyperlink ref="K52" r:id="rId2" xr:uid="{AE75D27C-7174-AB4A-8894-275EA6CD2774}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manamdhanya91@gmail.com</dc:creator>
  <cp:lastModifiedBy>manamdhanya91@gmail.com</cp:lastModifiedBy>
  <dcterms:created xsi:type="dcterms:W3CDTF">2025-10-15T15:52:00Z</dcterms:created>
  <dcterms:modified xsi:type="dcterms:W3CDTF">2025-10-16T04:53:14Z</dcterms:modified>
</cp:coreProperties>
</file>