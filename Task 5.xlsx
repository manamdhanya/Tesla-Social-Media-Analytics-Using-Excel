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nyamanam/Desktop/Internshala/Introduction to excel/Data Management and Analysis with MS Excel Project /"/>
    </mc:Choice>
  </mc:AlternateContent>
  <xr:revisionPtr revIDLastSave="0" documentId="13_ncr:1_{0F9369BE-3272-D04F-9868-C05D27FA300F}" xr6:coauthVersionLast="47" xr6:coauthVersionMax="47" xr10:uidLastSave="{00000000-0000-0000-0000-000000000000}"/>
  <bookViews>
    <workbookView xWindow="6180" yWindow="680" windowWidth="22540" windowHeight="17160" xr2:uid="{15E446CA-9333-184B-94A3-524BA1039523}"/>
  </bookViews>
  <sheets>
    <sheet name="Post Engagement Lift" sheetId="1" r:id="rId1"/>
    <sheet name="Engagement" sheetId="3" r:id="rId2"/>
    <sheet name="Campaign" sheetId="2" r:id="rId3"/>
    <sheet name="ROI" sheetId="6" r:id="rId4"/>
    <sheet name="Growth" sheetId="7" r:id="rId5"/>
    <sheet name="Per Compaign Engagement" sheetId="4" r:id="rId6"/>
  </sheets>
  <calcPr calcId="181029"/>
  <pivotCaches>
    <pivotCache cacheId="60" r:id="rId7"/>
    <pivotCache cacheId="64" r:id="rId8"/>
    <pivotCache cacheId="6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3" i="1"/>
  <c r="T2" i="1"/>
  <c r="Z12" i="1"/>
  <c r="AB12" i="1" s="1"/>
  <c r="AB13" i="1"/>
  <c r="AB14" i="1"/>
  <c r="AB15" i="1"/>
  <c r="AA13" i="1"/>
  <c r="AA14" i="1"/>
  <c r="AA15" i="1"/>
  <c r="AA12" i="1"/>
  <c r="Z13" i="1"/>
  <c r="Z15" i="1"/>
  <c r="Z1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2" i="1"/>
  <c r="AE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Q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Q3" i="1"/>
  <c r="Q4" i="1"/>
  <c r="T4" i="1" s="1"/>
  <c r="Q5" i="1"/>
  <c r="T5" i="1" s="1"/>
  <c r="Q6" i="1"/>
  <c r="Q7" i="1"/>
  <c r="Q8" i="1"/>
  <c r="Q9" i="1"/>
  <c r="Q10" i="1"/>
  <c r="Q11" i="1"/>
  <c r="Q12" i="1"/>
  <c r="T12" i="1" s="1"/>
  <c r="Q13" i="1"/>
  <c r="T13" i="1" s="1"/>
  <c r="Q14" i="1"/>
  <c r="Q15" i="1"/>
  <c r="Q16" i="1"/>
  <c r="Q17" i="1"/>
  <c r="Q18" i="1"/>
  <c r="Q19" i="1"/>
  <c r="Q20" i="1"/>
  <c r="T20" i="1" s="1"/>
  <c r="Q21" i="1"/>
  <c r="T21" i="1" s="1"/>
  <c r="Q22" i="1"/>
  <c r="Q23" i="1"/>
  <c r="Q24" i="1"/>
  <c r="Q25" i="1"/>
  <c r="Q26" i="1"/>
  <c r="Q27" i="1"/>
  <c r="Q28" i="1"/>
  <c r="T28" i="1" s="1"/>
  <c r="Q29" i="1"/>
  <c r="T29" i="1" s="1"/>
  <c r="Q30" i="1"/>
  <c r="Q31" i="1"/>
  <c r="Q32" i="1"/>
  <c r="Q33" i="1"/>
  <c r="Q34" i="1"/>
  <c r="Q35" i="1"/>
  <c r="Q36" i="1"/>
  <c r="T36" i="1" s="1"/>
  <c r="Q37" i="1"/>
  <c r="T37" i="1" s="1"/>
  <c r="Q38" i="1"/>
  <c r="Q39" i="1"/>
  <c r="Q40" i="1"/>
  <c r="Q41" i="1"/>
  <c r="Q42" i="1"/>
  <c r="Q43" i="1"/>
  <c r="Q44" i="1"/>
  <c r="T44" i="1" s="1"/>
  <c r="Q45" i="1"/>
  <c r="T45" i="1" s="1"/>
  <c r="Q46" i="1"/>
  <c r="Q47" i="1"/>
  <c r="Q48" i="1"/>
  <c r="Q49" i="1"/>
  <c r="Q50" i="1"/>
  <c r="Q51" i="1"/>
  <c r="Q52" i="1"/>
  <c r="T52" i="1" s="1"/>
  <c r="Q53" i="1"/>
  <c r="T53" i="1" s="1"/>
  <c r="Q54" i="1"/>
  <c r="Q55" i="1"/>
  <c r="Q56" i="1"/>
  <c r="Q57" i="1"/>
  <c r="Q58" i="1"/>
  <c r="Q59" i="1"/>
  <c r="Q60" i="1"/>
  <c r="Q61" i="1"/>
  <c r="T61" i="1" s="1"/>
  <c r="Q62" i="1"/>
  <c r="Q63" i="1"/>
  <c r="Q64" i="1"/>
  <c r="Q65" i="1"/>
  <c r="Q66" i="1"/>
  <c r="Q67" i="1"/>
  <c r="Q68" i="1"/>
  <c r="Q69" i="1"/>
  <c r="T69" i="1" s="1"/>
  <c r="Q70" i="1"/>
  <c r="Q71" i="1"/>
  <c r="Q72" i="1"/>
  <c r="Q73" i="1"/>
  <c r="Q74" i="1"/>
  <c r="Q75" i="1"/>
  <c r="Q76" i="1"/>
  <c r="T76" i="1" s="1"/>
  <c r="Q77" i="1"/>
  <c r="T77" i="1" s="1"/>
  <c r="Q78" i="1"/>
  <c r="Q79" i="1"/>
  <c r="Q80" i="1"/>
  <c r="Q81" i="1"/>
  <c r="Q82" i="1"/>
  <c r="Q83" i="1"/>
  <c r="Q84" i="1"/>
  <c r="Q85" i="1"/>
  <c r="T85" i="1" s="1"/>
  <c r="Q86" i="1"/>
  <c r="Q87" i="1"/>
  <c r="Q88" i="1"/>
  <c r="Q89" i="1"/>
  <c r="Q90" i="1"/>
  <c r="Q91" i="1"/>
  <c r="Q92" i="1"/>
  <c r="Q93" i="1"/>
  <c r="T93" i="1" s="1"/>
  <c r="Q94" i="1"/>
  <c r="Q95" i="1"/>
  <c r="Q96" i="1"/>
  <c r="Q97" i="1"/>
  <c r="Q98" i="1"/>
  <c r="Q99" i="1"/>
  <c r="Q100" i="1"/>
  <c r="T100" i="1" s="1"/>
  <c r="Q101" i="1"/>
  <c r="T101" i="1" s="1"/>
  <c r="Q102" i="1"/>
  <c r="Q103" i="1"/>
  <c r="Q104" i="1"/>
  <c r="Q105" i="1"/>
  <c r="Q106" i="1"/>
  <c r="Q107" i="1"/>
  <c r="Q108" i="1"/>
  <c r="T108" i="1" s="1"/>
  <c r="Q109" i="1"/>
  <c r="T109" i="1" s="1"/>
  <c r="Q110" i="1"/>
  <c r="Q111" i="1"/>
  <c r="Q112" i="1"/>
  <c r="Q113" i="1"/>
  <c r="Q114" i="1"/>
  <c r="Q115" i="1"/>
  <c r="Q116" i="1"/>
  <c r="Q117" i="1"/>
  <c r="T117" i="1" s="1"/>
  <c r="Q118" i="1"/>
  <c r="Q119" i="1"/>
  <c r="Q120" i="1"/>
  <c r="Q121" i="1"/>
  <c r="Q122" i="1"/>
  <c r="Q123" i="1"/>
  <c r="Q124" i="1"/>
  <c r="Q125" i="1"/>
  <c r="T125" i="1" s="1"/>
  <c r="Q126" i="1"/>
  <c r="Q127" i="1"/>
  <c r="Q128" i="1"/>
  <c r="Q129" i="1"/>
  <c r="Q130" i="1"/>
  <c r="Q131" i="1"/>
  <c r="Q132" i="1"/>
  <c r="T132" i="1" s="1"/>
  <c r="Q133" i="1"/>
  <c r="T133" i="1" s="1"/>
  <c r="Q134" i="1"/>
  <c r="Q135" i="1"/>
  <c r="Q136" i="1"/>
  <c r="Q137" i="1"/>
  <c r="Q138" i="1"/>
  <c r="Q139" i="1"/>
  <c r="Q140" i="1"/>
  <c r="Q141" i="1"/>
  <c r="T141" i="1" s="1"/>
  <c r="Q142" i="1"/>
  <c r="Q143" i="1"/>
  <c r="Q144" i="1"/>
  <c r="Q145" i="1"/>
  <c r="Q146" i="1"/>
  <c r="Q147" i="1"/>
  <c r="Q148" i="1"/>
  <c r="T148" i="1" s="1"/>
  <c r="Q149" i="1"/>
  <c r="T149" i="1" s="1"/>
  <c r="Q150" i="1"/>
  <c r="Q151" i="1"/>
  <c r="Q152" i="1"/>
  <c r="Q153" i="1"/>
  <c r="Q154" i="1"/>
  <c r="Q155" i="1"/>
  <c r="Q156" i="1"/>
  <c r="T156" i="1" s="1"/>
  <c r="Q157" i="1"/>
  <c r="T157" i="1" s="1"/>
  <c r="Q158" i="1"/>
  <c r="Q159" i="1"/>
  <c r="Q160" i="1"/>
  <c r="Q161" i="1"/>
  <c r="Q162" i="1"/>
  <c r="Q163" i="1"/>
  <c r="Q164" i="1"/>
  <c r="T164" i="1" s="1"/>
  <c r="Q165" i="1"/>
  <c r="T165" i="1" s="1"/>
  <c r="Q166" i="1"/>
  <c r="Q167" i="1"/>
  <c r="Q168" i="1"/>
  <c r="Q169" i="1"/>
  <c r="Q170" i="1"/>
  <c r="Q171" i="1"/>
  <c r="Q172" i="1"/>
  <c r="T172" i="1" s="1"/>
  <c r="Q173" i="1"/>
  <c r="T173" i="1" s="1"/>
  <c r="Q174" i="1"/>
  <c r="Q175" i="1"/>
  <c r="Q176" i="1"/>
  <c r="Q177" i="1"/>
  <c r="Q178" i="1"/>
  <c r="Q179" i="1"/>
  <c r="Q180" i="1"/>
  <c r="T180" i="1" s="1"/>
  <c r="Q181" i="1"/>
  <c r="T181" i="1" s="1"/>
  <c r="Q182" i="1"/>
  <c r="Q183" i="1"/>
  <c r="Q184" i="1"/>
  <c r="Q185" i="1"/>
  <c r="Q186" i="1"/>
  <c r="Q187" i="1"/>
  <c r="Q188" i="1"/>
  <c r="Q189" i="1"/>
  <c r="T189" i="1" s="1"/>
  <c r="Q190" i="1"/>
  <c r="Q191" i="1"/>
  <c r="Q192" i="1"/>
  <c r="Q193" i="1"/>
  <c r="Q194" i="1"/>
  <c r="Q195" i="1"/>
  <c r="Q196" i="1"/>
  <c r="Q197" i="1"/>
  <c r="T197" i="1" s="1"/>
  <c r="Q198" i="1"/>
  <c r="Q199" i="1"/>
  <c r="Q200" i="1"/>
  <c r="Q201" i="1"/>
  <c r="Q202" i="1"/>
  <c r="Q203" i="1"/>
  <c r="Q204" i="1"/>
  <c r="T204" i="1" s="1"/>
  <c r="Q205" i="1"/>
  <c r="T205" i="1" s="1"/>
  <c r="Q206" i="1"/>
  <c r="Q207" i="1"/>
  <c r="Q208" i="1"/>
  <c r="Q209" i="1"/>
  <c r="Q210" i="1"/>
  <c r="Q211" i="1"/>
  <c r="Q212" i="1"/>
  <c r="T212" i="1" s="1"/>
  <c r="Q213" i="1"/>
  <c r="T213" i="1" s="1"/>
  <c r="Q214" i="1"/>
  <c r="Q215" i="1"/>
  <c r="Q216" i="1"/>
  <c r="Q217" i="1"/>
  <c r="Q218" i="1"/>
  <c r="Q219" i="1"/>
  <c r="Q220" i="1"/>
  <c r="T220" i="1" s="1"/>
  <c r="Q221" i="1"/>
  <c r="T221" i="1" s="1"/>
  <c r="Q222" i="1"/>
  <c r="Q223" i="1"/>
  <c r="Q224" i="1"/>
  <c r="Q225" i="1"/>
  <c r="Q226" i="1"/>
  <c r="Q227" i="1"/>
  <c r="Q228" i="1"/>
  <c r="T228" i="1" s="1"/>
  <c r="Q229" i="1"/>
  <c r="T229" i="1" s="1"/>
  <c r="Q230" i="1"/>
  <c r="Q231" i="1"/>
  <c r="Q232" i="1"/>
  <c r="Q233" i="1"/>
  <c r="Q234" i="1"/>
  <c r="Q235" i="1"/>
  <c r="Q236" i="1"/>
  <c r="T236" i="1" s="1"/>
  <c r="Q237" i="1"/>
  <c r="T237" i="1" s="1"/>
  <c r="Q238" i="1"/>
  <c r="Q239" i="1"/>
  <c r="Q240" i="1"/>
  <c r="Q241" i="1"/>
  <c r="Q242" i="1"/>
  <c r="Q243" i="1"/>
  <c r="Q244" i="1"/>
  <c r="T244" i="1" s="1"/>
  <c r="Q245" i="1"/>
  <c r="T245" i="1" s="1"/>
  <c r="Q246" i="1"/>
  <c r="Q247" i="1"/>
  <c r="Q248" i="1"/>
  <c r="Q249" i="1"/>
  <c r="Q250" i="1"/>
  <c r="Q251" i="1"/>
  <c r="Q252" i="1"/>
  <c r="T252" i="1" s="1"/>
  <c r="Q253" i="1"/>
  <c r="T253" i="1" s="1"/>
  <c r="Q254" i="1"/>
  <c r="Q255" i="1"/>
  <c r="Q256" i="1"/>
  <c r="Q257" i="1"/>
  <c r="Q258" i="1"/>
  <c r="Q259" i="1"/>
  <c r="Q260" i="1"/>
  <c r="T260" i="1" s="1"/>
  <c r="Q261" i="1"/>
  <c r="T261" i="1" s="1"/>
  <c r="Q262" i="1"/>
  <c r="Q263" i="1"/>
  <c r="Q264" i="1"/>
  <c r="Q265" i="1"/>
  <c r="Q266" i="1"/>
  <c r="Q267" i="1"/>
  <c r="Q268" i="1"/>
  <c r="T268" i="1" s="1"/>
  <c r="Q269" i="1"/>
  <c r="T269" i="1" s="1"/>
  <c r="Q270" i="1"/>
  <c r="Q271" i="1"/>
  <c r="Q272" i="1"/>
  <c r="Q273" i="1"/>
  <c r="Q274" i="1"/>
  <c r="Q275" i="1"/>
  <c r="Q276" i="1"/>
  <c r="Q277" i="1"/>
  <c r="T277" i="1" s="1"/>
  <c r="Q278" i="1"/>
  <c r="Q279" i="1"/>
  <c r="Q280" i="1"/>
  <c r="Q281" i="1"/>
  <c r="Q282" i="1"/>
  <c r="Q283" i="1"/>
  <c r="Q284" i="1"/>
  <c r="T284" i="1" s="1"/>
  <c r="Q285" i="1"/>
  <c r="T285" i="1" s="1"/>
  <c r="Q286" i="1"/>
  <c r="Q287" i="1"/>
  <c r="Q288" i="1"/>
  <c r="Q289" i="1"/>
  <c r="Q290" i="1"/>
  <c r="Q291" i="1"/>
  <c r="Q292" i="1"/>
  <c r="Q293" i="1"/>
  <c r="T293" i="1" s="1"/>
  <c r="Q294" i="1"/>
  <c r="Q295" i="1"/>
  <c r="Q296" i="1"/>
  <c r="Q297" i="1"/>
  <c r="Q298" i="1"/>
  <c r="Q299" i="1"/>
  <c r="Q300" i="1"/>
  <c r="T300" i="1" s="1"/>
  <c r="Q301" i="1"/>
  <c r="T301" i="1" s="1"/>
  <c r="T275" i="1" l="1"/>
  <c r="T259" i="1"/>
  <c r="T243" i="1"/>
  <c r="T203" i="1"/>
  <c r="T266" i="1"/>
  <c r="T289" i="1"/>
  <c r="T273" i="1"/>
  <c r="T265" i="1"/>
  <c r="T225" i="1"/>
  <c r="T209" i="1"/>
  <c r="T201" i="1"/>
  <c r="T177" i="1"/>
  <c r="T161" i="1"/>
  <c r="T129" i="1"/>
  <c r="T113" i="1"/>
  <c r="T105" i="1"/>
  <c r="T97" i="1"/>
  <c r="T89" i="1"/>
  <c r="T81" i="1"/>
  <c r="T65" i="1"/>
  <c r="T57" i="1"/>
  <c r="T49" i="1"/>
  <c r="T25" i="1"/>
  <c r="T17" i="1"/>
  <c r="T292" i="1"/>
  <c r="T276" i="1"/>
  <c r="T196" i="1"/>
  <c r="T188" i="1"/>
  <c r="T140" i="1"/>
  <c r="T124" i="1"/>
  <c r="T116" i="1"/>
  <c r="T92" i="1"/>
  <c r="T84" i="1"/>
  <c r="T68" i="1"/>
  <c r="T60" i="1"/>
  <c r="T299" i="1"/>
  <c r="T283" i="1"/>
  <c r="T267" i="1"/>
  <c r="T251" i="1"/>
  <c r="T235" i="1"/>
  <c r="T227" i="1"/>
  <c r="T219" i="1"/>
  <c r="T211" i="1"/>
  <c r="T195" i="1"/>
  <c r="T187" i="1"/>
  <c r="T179" i="1"/>
  <c r="T171" i="1"/>
  <c r="T163" i="1"/>
  <c r="T155" i="1"/>
  <c r="T147" i="1"/>
  <c r="T139" i="1"/>
  <c r="T131" i="1"/>
  <c r="T123" i="1"/>
  <c r="T115" i="1"/>
  <c r="T107" i="1"/>
  <c r="T99" i="1"/>
  <c r="T91" i="1"/>
  <c r="T83" i="1"/>
  <c r="T75" i="1"/>
  <c r="T67" i="1"/>
  <c r="T59" i="1"/>
  <c r="T51" i="1"/>
  <c r="T43" i="1"/>
  <c r="T35" i="1"/>
  <c r="T27" i="1"/>
  <c r="T19" i="1"/>
  <c r="T11" i="1"/>
  <c r="T291" i="1"/>
  <c r="T298" i="1"/>
  <c r="T290" i="1"/>
  <c r="T282" i="1"/>
  <c r="T274" i="1"/>
  <c r="T258" i="1"/>
  <c r="T250" i="1"/>
  <c r="T242" i="1"/>
  <c r="T234" i="1"/>
  <c r="T226" i="1"/>
  <c r="T218" i="1"/>
  <c r="T210" i="1"/>
  <c r="T202" i="1"/>
  <c r="T194" i="1"/>
  <c r="T186" i="1"/>
  <c r="T178" i="1"/>
  <c r="T170" i="1"/>
  <c r="T162" i="1"/>
  <c r="T154" i="1"/>
  <c r="T146" i="1"/>
  <c r="T138" i="1"/>
  <c r="T130" i="1"/>
  <c r="T122" i="1"/>
  <c r="T114" i="1"/>
  <c r="T106" i="1"/>
  <c r="T98" i="1"/>
  <c r="T90" i="1"/>
  <c r="T82" i="1"/>
  <c r="T74" i="1"/>
  <c r="T66" i="1"/>
  <c r="T58" i="1"/>
  <c r="T50" i="1"/>
  <c r="T42" i="1"/>
  <c r="T34" i="1"/>
  <c r="T26" i="1"/>
  <c r="T18" i="1"/>
  <c r="T10" i="1"/>
  <c r="T249" i="1"/>
  <c r="T193" i="1"/>
  <c r="T33" i="1"/>
  <c r="T281" i="1"/>
  <c r="T257" i="1"/>
  <c r="T169" i="1"/>
  <c r="T145" i="1"/>
  <c r="T121" i="1"/>
  <c r="T41" i="1"/>
  <c r="T9" i="1"/>
  <c r="T296" i="1"/>
  <c r="T288" i="1"/>
  <c r="T280" i="1"/>
  <c r="T272" i="1"/>
  <c r="T264" i="1"/>
  <c r="T256" i="1"/>
  <c r="T248" i="1"/>
  <c r="T240" i="1"/>
  <c r="T232" i="1"/>
  <c r="T224" i="1"/>
  <c r="T216" i="1"/>
  <c r="T208" i="1"/>
  <c r="T200" i="1"/>
  <c r="T192" i="1"/>
  <c r="T184" i="1"/>
  <c r="T176" i="1"/>
  <c r="T168" i="1"/>
  <c r="T160" i="1"/>
  <c r="T152" i="1"/>
  <c r="T144" i="1"/>
  <c r="T136" i="1"/>
  <c r="T128" i="1"/>
  <c r="T120" i="1"/>
  <c r="T112" i="1"/>
  <c r="T104" i="1"/>
  <c r="T96" i="1"/>
  <c r="T88" i="1"/>
  <c r="T80" i="1"/>
  <c r="T72" i="1"/>
  <c r="T64" i="1"/>
  <c r="T56" i="1"/>
  <c r="T48" i="1"/>
  <c r="T40" i="1"/>
  <c r="T32" i="1"/>
  <c r="T24" i="1"/>
  <c r="T16" i="1"/>
  <c r="T8" i="1"/>
  <c r="T297" i="1"/>
  <c r="T241" i="1"/>
  <c r="T217" i="1"/>
  <c r="T185" i="1"/>
  <c r="T73" i="1"/>
  <c r="T295" i="1"/>
  <c r="T287" i="1"/>
  <c r="T279" i="1"/>
  <c r="T271" i="1"/>
  <c r="T263" i="1"/>
  <c r="T255" i="1"/>
  <c r="T247" i="1"/>
  <c r="T239" i="1"/>
  <c r="T231" i="1"/>
  <c r="T223" i="1"/>
  <c r="T215" i="1"/>
  <c r="T207" i="1"/>
  <c r="T199" i="1"/>
  <c r="T191" i="1"/>
  <c r="T183" i="1"/>
  <c r="T175" i="1"/>
  <c r="T167" i="1"/>
  <c r="T159" i="1"/>
  <c r="T151" i="1"/>
  <c r="T143" i="1"/>
  <c r="T135" i="1"/>
  <c r="T127" i="1"/>
  <c r="T119" i="1"/>
  <c r="T111" i="1"/>
  <c r="T103" i="1"/>
  <c r="T95" i="1"/>
  <c r="T87" i="1"/>
  <c r="T79" i="1"/>
  <c r="T71" i="1"/>
  <c r="T63" i="1"/>
  <c r="T55" i="1"/>
  <c r="T47" i="1"/>
  <c r="T39" i="1"/>
  <c r="T31" i="1"/>
  <c r="T23" i="1"/>
  <c r="T15" i="1"/>
  <c r="T7" i="1"/>
  <c r="T233" i="1"/>
  <c r="T153" i="1"/>
  <c r="T137" i="1"/>
  <c r="T294" i="1"/>
  <c r="T286" i="1"/>
  <c r="T278" i="1"/>
  <c r="T270" i="1"/>
  <c r="T262" i="1"/>
  <c r="T254" i="1"/>
  <c r="T246" i="1"/>
  <c r="T238" i="1"/>
  <c r="T230" i="1"/>
  <c r="T222" i="1"/>
  <c r="T214" i="1"/>
  <c r="T206" i="1"/>
  <c r="T198" i="1"/>
  <c r="T190" i="1"/>
  <c r="T182" i="1"/>
  <c r="T174" i="1"/>
  <c r="T166" i="1"/>
  <c r="T158" i="1"/>
  <c r="T150" i="1"/>
  <c r="T142" i="1"/>
  <c r="T134" i="1"/>
  <c r="T126" i="1"/>
  <c r="T118" i="1"/>
  <c r="T110" i="1"/>
  <c r="T102" i="1"/>
  <c r="T94" i="1"/>
  <c r="T86" i="1"/>
  <c r="T78" i="1"/>
  <c r="T70" i="1"/>
  <c r="T62" i="1"/>
  <c r="T54" i="1"/>
  <c r="T46" i="1"/>
  <c r="T38" i="1"/>
  <c r="T30" i="1"/>
  <c r="T22" i="1"/>
  <c r="T14" i="1"/>
  <c r="T6" i="1"/>
</calcChain>
</file>

<file path=xl/sharedStrings.xml><?xml version="1.0" encoding="utf-8"?>
<sst xmlns="http://schemas.openxmlformats.org/spreadsheetml/2006/main" count="2072" uniqueCount="398">
  <si>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</si>
  <si>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</si>
  <si>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</si>
  <si>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</si>
  <si>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</si>
  <si>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</si>
  <si>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</si>
  <si>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</si>
  <si>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</si>
  <si>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</si>
  <si>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</si>
  <si>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</si>
  <si>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</si>
  <si>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</si>
  <si>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</si>
  <si>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Check out our latest reel on twitter!</t>
  </si>
  <si>
    <t>FutureOfDriving</t>
  </si>
  <si>
    <t>AnytimeIsTeslaTime</t>
  </si>
  <si>
    <t>CybertruckLaunch</t>
  </si>
  <si>
    <t>P002</t>
  </si>
  <si>
    <t>Text</t>
  </si>
  <si>
    <t>Check out our latest text on twitter!</t>
  </si>
  <si>
    <t>TeslaCoInnovation</t>
  </si>
  <si>
    <t>BetterWithTesla</t>
  </si>
  <si>
    <t>ModelYCampaign</t>
  </si>
  <si>
    <t>P003</t>
  </si>
  <si>
    <t>YouTube</t>
  </si>
  <si>
    <t>Check out our latest reel on youtube!</t>
  </si>
  <si>
    <t>FSDUpdate</t>
  </si>
  <si>
    <t>P004</t>
  </si>
  <si>
    <t>Instagram</t>
  </si>
  <si>
    <t>Story</t>
  </si>
  <si>
    <t>Check out our latest story on instagram!</t>
  </si>
  <si>
    <t>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</si>
  <si>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</si>
  <si>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</si>
  <si>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</si>
  <si>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</si>
  <si>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</si>
  <si>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</si>
  <si>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</si>
  <si>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</si>
  <si>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</si>
  <si>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</si>
  <si>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</si>
  <si>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</si>
  <si>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</si>
  <si>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</si>
  <si>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</si>
  <si>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</si>
  <si>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</si>
  <si>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</si>
  <si>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</si>
  <si>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</si>
  <si>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</si>
  <si>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</si>
  <si>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</si>
  <si>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</si>
  <si>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</si>
  <si>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</si>
  <si>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</si>
  <si>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</si>
  <si>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</si>
  <si>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</si>
  <si>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</si>
  <si>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</si>
  <si>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</si>
  <si>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</si>
  <si>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</si>
  <si>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</si>
  <si>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</si>
  <si>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</si>
  <si>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</si>
  <si>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</si>
  <si>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</si>
  <si>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</si>
  <si>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</si>
  <si>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</si>
  <si>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</si>
  <si>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</si>
  <si>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</si>
  <si>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</si>
  <si>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</si>
  <si>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</si>
  <si>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</si>
  <si>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</si>
  <si>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</si>
  <si>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</si>
  <si>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</si>
  <si>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</si>
  <si>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</si>
  <si>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</si>
  <si>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</si>
  <si>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</si>
  <si>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</si>
  <si>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</si>
  <si>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</si>
  <si>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</si>
  <si>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</si>
  <si>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</si>
  <si>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</si>
  <si>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</si>
  <si>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</si>
  <si>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</si>
  <si>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</si>
  <si>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</si>
  <si>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</si>
  <si>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</si>
  <si>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</si>
  <si>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</si>
  <si>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</si>
  <si>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</si>
  <si>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</si>
  <si>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</si>
  <si>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</si>
  <si>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</si>
  <si>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</si>
  <si>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</si>
  <si>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</si>
  <si>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</si>
  <si>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</si>
  <si>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</si>
  <si>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</si>
  <si>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</si>
  <si>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</si>
  <si>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</si>
  <si>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</si>
  <si>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</si>
  <si>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</si>
  <si>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</si>
  <si>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</si>
  <si>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</si>
  <si>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</si>
  <si>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</si>
  <si>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</si>
  <si>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</si>
  <si>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</si>
  <si>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</si>
  <si>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</si>
  <si>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</si>
  <si>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</si>
  <si>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</si>
  <si>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</si>
  <si>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</si>
  <si>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</si>
  <si>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</si>
  <si>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</si>
  <si>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</si>
  <si>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</si>
  <si>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</si>
  <si>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</si>
  <si>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</si>
  <si>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</si>
  <si>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</si>
  <si>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</si>
  <si>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</si>
  <si>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</si>
  <si>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</si>
  <si>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</si>
  <si>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</si>
  <si>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</si>
  <si>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</si>
  <si>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</si>
  <si>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</si>
  <si>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</si>
  <si>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</si>
  <si>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</si>
  <si>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</si>
  <si>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</si>
  <si>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</si>
  <si>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</si>
  <si>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</si>
  <si>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</si>
  <si>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</si>
  <si>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</si>
  <si>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</si>
  <si>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</si>
  <si>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</si>
  <si>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</si>
  <si>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</si>
  <si>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</si>
  <si>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</si>
  <si>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</si>
  <si>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</si>
  <si>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</si>
  <si>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</si>
  <si>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</si>
  <si>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</si>
  <si>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</si>
  <si>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</si>
  <si>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</si>
  <si>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</si>
  <si>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</si>
  <si>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</si>
  <si>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</si>
  <si>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</si>
  <si>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</si>
  <si>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</si>
  <si>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</si>
  <si>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</si>
  <si>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</si>
  <si>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</si>
  <si>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</si>
  <si>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</si>
  <si>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</si>
  <si>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</si>
  <si>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</si>
  <si>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</si>
  <si>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</si>
  <si>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</si>
  <si>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</si>
  <si>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</si>
  <si>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</si>
  <si>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</si>
  <si>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</si>
  <si>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</si>
  <si>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</si>
  <si>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</si>
  <si>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</si>
  <si>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</si>
  <si>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</si>
  <si>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</si>
  <si>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</si>
  <si>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</si>
  <si>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</si>
  <si>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</si>
  <si>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</si>
  <si>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</si>
  <si>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</si>
  <si>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</si>
  <si>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</si>
  <si>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</si>
  <si>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</si>
  <si>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</si>
  <si>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</si>
  <si>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</si>
  <si>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</si>
  <si>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</si>
  <si>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</si>
  <si>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</si>
  <si>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</si>
  <si>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</si>
  <si>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</si>
  <si>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</si>
  <si>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</si>
  <si>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</si>
  <si>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</si>
  <si>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</si>
  <si>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</si>
  <si>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</si>
  <si>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</si>
  <si>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</si>
  <si>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</si>
  <si>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</si>
  <si>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</si>
  <si>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</si>
  <si>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</si>
  <si>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</si>
  <si>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</si>
  <si>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</si>
  <si>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</si>
  <si>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</si>
  <si>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</si>
  <si>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</si>
  <si>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</si>
  <si>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</si>
  <si>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</si>
  <si>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</si>
  <si>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</si>
  <si>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</si>
  <si>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</si>
  <si>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</si>
  <si>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</si>
  <si>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</si>
  <si>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</si>
  <si>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</si>
  <si>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</si>
  <si>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</si>
  <si>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</si>
  <si>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</si>
  <si>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</si>
  <si>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</si>
  <si>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</si>
  <si>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</si>
  <si>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</si>
  <si>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</si>
  <si>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</si>
  <si>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</si>
  <si>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</si>
  <si>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</si>
  <si>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</si>
  <si>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</si>
  <si>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</si>
  <si>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</si>
  <si>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</si>
  <si>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</si>
  <si>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</si>
  <si>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</si>
  <si>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</si>
  <si>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</si>
  <si>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</si>
  <si>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</si>
  <si>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</si>
  <si>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</si>
  <si>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</si>
  <si>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</si>
  <si>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</si>
  <si>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</si>
  <si>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</si>
  <si>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</si>
  <si>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</si>
  <si>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</si>
  <si>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</si>
  <si>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</si>
  <si>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</si>
  <si>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</si>
  <si>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</si>
  <si>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</si>
  <si>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</si>
  <si>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</si>
  <si>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</si>
  <si>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</si>
  <si>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</si>
  <si>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</si>
  <si>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</si>
  <si>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</si>
  <si>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</si>
  <si>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</si>
  <si>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</si>
  <si>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</si>
  <si>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</si>
  <si>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</si>
  <si>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</si>
  <si>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</si>
  <si>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</si>
  <si>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</si>
  <si>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</si>
  <si>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</si>
  <si>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</si>
  <si>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</si>
  <si>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</si>
  <si>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</si>
  <si>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</si>
  <si>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</si>
  <si>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</si>
  <si>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</si>
  <si>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</si>
  <si>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</si>
  <si>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</si>
  <si>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</si>
  <si>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</si>
  <si>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</si>
  <si>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</si>
  <si>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</si>
  <si>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</si>
  <si>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</si>
  <si>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End_Date</t>
  </si>
  <si>
    <t>Objective</t>
  </si>
  <si>
    <t>Total_Budget</t>
  </si>
  <si>
    <t>Target_Platforms</t>
  </si>
  <si>
    <t>Primary Hashtags</t>
  </si>
  <si>
    <t>Product Awareness</t>
  </si>
  <si>
    <t>Instagram,Facebook</t>
  </si>
  <si>
    <t>Customer Engagement</t>
  </si>
  <si>
    <t>Instagram,YouTube</t>
  </si>
  <si>
    <t>Vehicle Launch</t>
  </si>
  <si>
    <t>Facebook,Twitter</t>
  </si>
  <si>
    <t>Community Growth</t>
  </si>
  <si>
    <t>Instagram,Twitter</t>
  </si>
  <si>
    <t>Primary_Hashtags</t>
  </si>
  <si>
    <t>Week_Start_Date</t>
  </si>
  <si>
    <t>New_Followers</t>
  </si>
  <si>
    <t>Unfollows</t>
  </si>
  <si>
    <t>Total_Followers</t>
  </si>
  <si>
    <t>Engagement_Rate</t>
  </si>
  <si>
    <t>Ad_Spend</t>
  </si>
  <si>
    <t>Row Labels</t>
  </si>
  <si>
    <t>(blank)</t>
  </si>
  <si>
    <t>Grand Total</t>
  </si>
  <si>
    <t>Sum of Impressions</t>
  </si>
  <si>
    <t>Sum of Likes</t>
  </si>
  <si>
    <t>Sum of Clicks</t>
  </si>
  <si>
    <t>Average of Impressions</t>
  </si>
  <si>
    <t>Average of Likes</t>
  </si>
  <si>
    <t>Average of Clicks</t>
  </si>
  <si>
    <t>Total_Engagement</t>
  </si>
  <si>
    <t>ROI</t>
  </si>
  <si>
    <t xml:space="preserve">Growth </t>
  </si>
  <si>
    <t xml:space="preserve">Average of Growth </t>
  </si>
  <si>
    <t>the campaign with the strongest follower growth is SustainabilityDrive with an average growth of 0.152.</t>
  </si>
  <si>
    <t>END_DATE</t>
  </si>
  <si>
    <t>Period</t>
  </si>
  <si>
    <t>Campaign Name</t>
  </si>
  <si>
    <t>Avg Engagement Before</t>
  </si>
  <si>
    <t>Avg Engagement During</t>
  </si>
  <si>
    <t>Uplift</t>
  </si>
  <si>
    <t>Average of ROI</t>
  </si>
  <si>
    <r>
      <t>CybertruckLaunch</t>
    </r>
    <r>
      <rPr>
        <sz val="14"/>
        <color rgb="FF000000"/>
        <rFont val="Aptos Narrow (Body)"/>
      </rPr>
      <t> had the </t>
    </r>
    <r>
      <rPr>
        <sz val="12"/>
        <color rgb="FF000000"/>
        <rFont val="Aptos Narrow (Body)"/>
      </rPr>
      <t>highest ROI (engagement vs. spend)</t>
    </r>
    <r>
      <rPr>
        <sz val="14"/>
        <color rgb="FF000000"/>
        <rFont val="Aptos Narrow (Body)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</si>
</sst>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/mm/yyyy;@"/>
    <numFmt numFmtId="169" formatCode="[$USD]\ #,##0.00"/>
  </numFmts>
  <fonts count="1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000000"/>
      <name val="-webkit-standard"/>
    </font>
    <font>
      <sz val="14"/>
      <color rgb="FF000000"/>
      <name val="Aptos Narrow (Body)"/>
    </font>
    <font>
      <sz val="12"/>
      <color rgb="FF000000"/>
      <name val="Aptos Narrow (Body)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1" fillId="0" borderId="2" xfId="0" applyNumberFormat="1" applyFont="1" applyBorder="1" applyAlignment="1">
      <alignment horizontal="center" vertical="top"/>
    </xf>
    <xf numFmtId="0" fontId="2" fillId="0" borderId="2" xfId="0" applyNumberFormat="1" applyFont="1" applyBorder="1" applyAlignment="1">
      <alignment horizontal="center"/>
    </xf>
    <xf numFmtId="0" fontId="0" fillId="0" borderId="0" xfId="0" applyBorder="1"/>
    <xf numFmtId="0" fontId="1" fillId="0" borderId="3" xfId="0" applyFont="1" applyFill="1" applyBorder="1" applyAlignment="1">
      <alignment horizontal="center" vertical="top"/>
    </xf>
    <xf numFmtId="2" fontId="3" fillId="0" borderId="0" xfId="0" applyNumberFormat="1" applyFont="1" applyBorder="1" applyAlignment="1">
      <alignment horizontal="center" vertical="top"/>
    </xf>
    <xf numFmtId="1" fontId="4" fillId="0" borderId="0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/>
    <xf numFmtId="0" fontId="10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ya Manam" refreshedDate="45945.854731944448" createdVersion="8" refreshedVersion="8" minRefreshableVersion="3" recordCount="300" xr:uid="{20800A08-E3C7-2044-95BD-31B2F2005047}">
  <cacheSource type="worksheet">
    <worksheetSource ref="A1:S301" sheet="Post Engagement Lift"/>
  </cacheSource>
  <cacheFields count="18">
    <cacheField name="Post ID" numFmtId="0">
      <sharedItems/>
    </cacheField>
    <cacheField name="Platform" numFmtId="0">
      <sharedItems/>
    </cacheField>
    <cacheField name="Date" numFmtId="165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Primary_Hashtags" numFmtId="0">
      <sharedItems/>
    </cacheField>
    <cacheField name="Primary_Hashtags2" numFmtId="0">
      <sharedItems containsBlank="1"/>
    </cacheField>
    <cacheField name="Primary_Hashtags3" numFmtId="0">
      <sharedItems containsBlank="1"/>
    </cacheField>
    <cacheField name="Campaign_Name" numFmtId="0">
      <sharedItems containsBlank="1" count="5">
        <s v="CybertruckLaunch"/>
        <s v="ModelYCampaign"/>
        <s v="FSDUpdate"/>
        <s v="SustainabilityDrive"/>
        <m/>
      </sharedItems>
    </cacheField>
    <cacheField name="Total_Budget" numFmtId="0">
      <sharedItems containsSemiMixedTypes="0" containsString="0" containsNumber="1" containsInteger="1" minValue="0" maxValue="150000"/>
    </cacheField>
    <cacheField name="Total_Budget2" numFmtId="1">
      <sharedItems containsSemiMixedTypes="0" containsString="0" containsNumber="1" containsInteger="1" minValue="0" maxValue="250000"/>
    </cacheField>
    <cacheField name="Total_Budget3" numFmtId="0">
      <sharedItems containsSemiMixedTypes="0" containsString="0" containsNumber="1" containsInteger="1" minValue="0" maxValue="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ya Manam" refreshedDate="45945.860665972221" createdVersion="8" refreshedVersion="8" minRefreshableVersion="3" recordCount="300" xr:uid="{5AB8CBDD-834F-3047-AED9-C7FA3B873A66}">
  <cacheSource type="worksheet">
    <worksheetSource ref="A1:T301" sheet="Post Engagement Lift"/>
  </cacheSource>
  <cacheFields count="20">
    <cacheField name="Post ID" numFmtId="0">
      <sharedItems/>
    </cacheField>
    <cacheField name="Platform" numFmtId="0">
      <sharedItems/>
    </cacheField>
    <cacheField name="Date" numFmtId="165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Total_Engagement" numFmtId="1">
      <sharedItems containsSemiMixedTypes="0" containsString="0" containsNumber="1" containsInteger="1" minValue="585" maxValue="6343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Primary_Hashtags" numFmtId="0">
      <sharedItems/>
    </cacheField>
    <cacheField name="Primary_Hashtags2" numFmtId="0">
      <sharedItems containsBlank="1"/>
    </cacheField>
    <cacheField name="Primary_Hashtags3" numFmtId="0">
      <sharedItems containsBlank="1"/>
    </cacheField>
    <cacheField name="Campaign_Name" numFmtId="0">
      <sharedItems containsBlank="1" count="5">
        <s v="CybertruckLaunch"/>
        <s v="ModelYCampaign"/>
        <s v="FSDUpdate"/>
        <s v="SustainabilityDrive"/>
        <m/>
      </sharedItems>
    </cacheField>
    <cacheField name="Total_Budget" numFmtId="0">
      <sharedItems containsSemiMixedTypes="0" containsString="0" containsNumber="1" containsInteger="1" minValue="0" maxValue="150000"/>
    </cacheField>
    <cacheField name="Total_Budget2" numFmtId="1">
      <sharedItems containsSemiMixedTypes="0" containsString="0" containsNumber="1" containsInteger="1" minValue="0" maxValue="250000"/>
    </cacheField>
    <cacheField name="Total_Budget3" numFmtId="0">
      <sharedItems containsSemiMixedTypes="0" containsString="0" containsNumber="1" containsInteger="1" minValue="0" maxValue="200000"/>
    </cacheField>
    <cacheField name="ROI" numFmtId="0">
      <sharedItems containsMixedTypes="1" containsNumber="1" minValue="3.8999999999999998E-3" maxValue="4.133333333333333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ya Manam" refreshedDate="45945.862780324074" createdVersion="8" refreshedVersion="8" minRefreshableVersion="3" recordCount="300" xr:uid="{09E3CB67-01C8-EF4B-AE65-765935864B3F}">
  <cacheSource type="worksheet">
    <worksheetSource ref="A1:U301" sheet="Post Engagement Lift"/>
  </cacheSource>
  <cacheFields count="21">
    <cacheField name="Post ID" numFmtId="0">
      <sharedItems/>
    </cacheField>
    <cacheField name="Platform" numFmtId="0">
      <sharedItems/>
    </cacheField>
    <cacheField name="Date" numFmtId="165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Total_Engagement" numFmtId="1">
      <sharedItems containsSemiMixedTypes="0" containsString="0" containsNumber="1" containsInteger="1" minValue="585" maxValue="6343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Primary_Hashtags" numFmtId="0">
      <sharedItems/>
    </cacheField>
    <cacheField name="Primary_Hashtags2" numFmtId="0">
      <sharedItems containsBlank="1"/>
    </cacheField>
    <cacheField name="Primary_Hashtags3" numFmtId="0">
      <sharedItems containsBlank="1"/>
    </cacheField>
    <cacheField name="Campaign_Name" numFmtId="0">
      <sharedItems containsBlank="1" count="5">
        <s v="CybertruckLaunch"/>
        <s v="ModelYCampaign"/>
        <s v="FSDUpdate"/>
        <s v="SustainabilityDrive"/>
        <m/>
      </sharedItems>
    </cacheField>
    <cacheField name="Total_Budget" numFmtId="0">
      <sharedItems containsSemiMixedTypes="0" containsString="0" containsNumber="1" containsInteger="1" minValue="0" maxValue="150000"/>
    </cacheField>
    <cacheField name="Total_Budget2" numFmtId="1">
      <sharedItems containsSemiMixedTypes="0" containsString="0" containsNumber="1" containsInteger="1" minValue="0" maxValue="250000"/>
    </cacheField>
    <cacheField name="Total_Budget3" numFmtId="0">
      <sharedItems containsSemiMixedTypes="0" containsString="0" containsNumber="1" containsInteger="1" minValue="0" maxValue="200000"/>
    </cacheField>
    <cacheField name="ROI" numFmtId="0">
      <sharedItems containsMixedTypes="1" containsNumber="1" minValue="3.8999999999999998E-3" maxValue="4.1333333333333333E-2"/>
    </cacheField>
    <cacheField name="Growth " numFmtId="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1675"/>
    <n v="15"/>
    <s v="FutureOfDriving"/>
    <s v="AnytimeIsTeslaTime"/>
    <m/>
    <x v="0"/>
    <n v="0"/>
    <n v="200000"/>
    <n v="0"/>
  </r>
  <r>
    <s v="P002"/>
    <s v="Twitter"/>
    <d v="2025-04-03T00:00:00"/>
    <s v="Text"/>
    <s v="Check out our latest text on twitter!"/>
    <n v="4054"/>
    <n v="389"/>
    <n v="493"/>
    <n v="64864"/>
    <n v="64383"/>
    <n v="117"/>
    <s v="TeslaCoInnovation"/>
    <s v="BetterWithTesla"/>
    <m/>
    <x v="1"/>
    <n v="0"/>
    <n v="180000"/>
    <n v="0"/>
  </r>
  <r>
    <s v="P003"/>
    <s v="YouTube"/>
    <d v="2025-05-12T00:00:00"/>
    <s v="Reel"/>
    <s v="Check out our latest reel on youtube!"/>
    <n v="2795"/>
    <n v="105"/>
    <n v="49"/>
    <n v="53105"/>
    <n v="52307"/>
    <n v="204"/>
    <s v="TeslaCoInnovation"/>
    <m/>
    <m/>
    <x v="2"/>
    <n v="0"/>
    <n v="0"/>
    <n v="0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EVRevolution"/>
    <m/>
    <m/>
    <x v="3"/>
    <n v="150000"/>
    <n v="0"/>
    <n v="0"/>
  </r>
  <r>
    <s v="P005"/>
    <s v="YouTube"/>
    <d v="2024-06-26T00:00:00"/>
    <s v="Reel"/>
    <s v="Check out our latest reel on youtube!"/>
    <n v="3557"/>
    <n v="687"/>
    <n v="424"/>
    <n v="71140"/>
    <n v="70701"/>
    <n v="224"/>
    <s v="EVRevolution"/>
    <s v="TeslaCoInnovation"/>
    <m/>
    <x v="0"/>
    <n v="150000"/>
    <n v="0"/>
    <n v="0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TeslaCoInnovation"/>
    <m/>
    <m/>
    <x v="1"/>
    <n v="0"/>
    <n v="0"/>
    <n v="0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TeslaCoInnovation"/>
    <m/>
    <m/>
    <x v="1"/>
    <n v="0"/>
    <n v="0"/>
    <n v="0"/>
  </r>
  <r>
    <s v="P008"/>
    <s v="YouTube"/>
    <d v="2024-07-13T00:00:00"/>
    <s v="Image"/>
    <s v="Check out our latest image on youtube!"/>
    <n v="3929"/>
    <n v="262"/>
    <n v="278"/>
    <n v="43219"/>
    <n v="42841"/>
    <n v="39"/>
    <s v="EVRevolution"/>
    <m/>
    <m/>
    <x v="3"/>
    <n v="150000"/>
    <n v="0"/>
    <n v="0"/>
  </r>
  <r>
    <s v="P009"/>
    <s v="Facebook"/>
    <d v="2024-08-30T00:00:00"/>
    <s v="Text"/>
    <s v="Check out our latest text on facebook!"/>
    <n v="3784"/>
    <n v="808"/>
    <n v="404"/>
    <n v="56760"/>
    <n v="56343"/>
    <n v="131"/>
    <s v="TeslaCoInnovation"/>
    <m/>
    <m/>
    <x v="1"/>
    <n v="0"/>
    <n v="0"/>
    <n v="0"/>
  </r>
  <r>
    <s v="P010"/>
    <s v="Facebook"/>
    <d v="2025-03-11T00:00:00"/>
    <s v="Image"/>
    <s v="Check out our latest image on facebook!"/>
    <n v="4241"/>
    <n v="902"/>
    <n v="47"/>
    <n v="72097"/>
    <n v="71598"/>
    <n v="167"/>
    <s v="TeslaCoInnovation"/>
    <m/>
    <m/>
    <x v="1"/>
    <n v="0"/>
    <n v="0"/>
    <n v="0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FutureOfDriving"/>
    <m/>
    <m/>
    <x v="3"/>
    <n v="0"/>
    <n v="0"/>
    <n v="0"/>
  </r>
  <r>
    <s v="P012"/>
    <s v="Facebook"/>
    <d v="2024-07-21T00:00:00"/>
    <s v="Reel"/>
    <s v="Check out our latest reel on facebook!"/>
    <n v="1946"/>
    <n v="686"/>
    <n v="377"/>
    <n v="23352"/>
    <n v="22982"/>
    <n v="213"/>
    <s v="FutureOfDriving"/>
    <m/>
    <m/>
    <x v="2"/>
    <n v="0"/>
    <n v="0"/>
    <n v="0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EVRevolution"/>
    <m/>
    <m/>
    <x v="0"/>
    <n v="150000"/>
    <n v="0"/>
    <n v="0"/>
  </r>
  <r>
    <s v="P014"/>
    <s v="Facebook"/>
    <d v="2025-02-16T00:00:00"/>
    <s v="Story"/>
    <s v="Check out our latest story on facebook!"/>
    <n v="4242"/>
    <n v="555"/>
    <n v="131"/>
    <n v="33936"/>
    <n v="33802"/>
    <n v="265"/>
    <s v="FutureOfDriving"/>
    <m/>
    <m/>
    <x v="4"/>
    <n v="0"/>
    <n v="0"/>
    <n v="0"/>
  </r>
  <r>
    <s v="P015"/>
    <s v="Facebook"/>
    <d v="2024-10-24T00:00:00"/>
    <s v="Video"/>
    <s v="Check out our latest video on facebook!"/>
    <n v="3888"/>
    <n v="604"/>
    <n v="128"/>
    <n v="77760"/>
    <n v="77167"/>
    <n v="20"/>
    <s v="FutureOfDriving"/>
    <m/>
    <m/>
    <x v="0"/>
    <n v="0"/>
    <n v="0"/>
    <n v="0"/>
  </r>
  <r>
    <s v="P016"/>
    <s v="Facebook"/>
    <d v="2024-08-26T00:00:00"/>
    <s v="Text"/>
    <s v="Check out our latest text on facebook!"/>
    <n v="3452"/>
    <n v="377"/>
    <n v="360"/>
    <n v="55232"/>
    <n v="55075"/>
    <n v="87"/>
    <s v="FutureOfDriving"/>
    <m/>
    <m/>
    <x v="2"/>
    <n v="0"/>
    <n v="0"/>
    <n v="0"/>
  </r>
  <r>
    <s v="P017"/>
    <s v="Facebook"/>
    <d v="2025-05-05T00:00:00"/>
    <s v="Text"/>
    <s v="Check out our latest text on facebook!"/>
    <n v="4441"/>
    <n v="511"/>
    <n v="70"/>
    <n v="53292"/>
    <n v="53082"/>
    <n v="159"/>
    <s v="EVRevolution"/>
    <m/>
    <m/>
    <x v="3"/>
    <n v="150000"/>
    <n v="0"/>
    <n v="0"/>
  </r>
  <r>
    <s v="P018"/>
    <s v="Instagram"/>
    <d v="2024-08-19T00:00:00"/>
    <s v="Reel"/>
    <s v="Check out our latest reel on instagram!"/>
    <n v="3000"/>
    <n v="382"/>
    <n v="325"/>
    <n v="36000"/>
    <n v="35819"/>
    <n v="19"/>
    <s v="FutureOfDriving"/>
    <m/>
    <m/>
    <x v="0"/>
    <n v="0"/>
    <n v="0"/>
    <n v="0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TeslaCoInnovation"/>
    <m/>
    <m/>
    <x v="3"/>
    <n v="0"/>
    <n v="0"/>
    <n v="0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TeslaCoInnovation"/>
    <m/>
    <m/>
    <x v="0"/>
    <n v="0"/>
    <n v="0"/>
    <n v="0"/>
  </r>
  <r>
    <s v="P021"/>
    <s v="Instagram"/>
    <d v="2025-01-04T00:00:00"/>
    <s v="Reel"/>
    <s v="Check out our latest reel on instagram!"/>
    <n v="4838"/>
    <n v="640"/>
    <n v="128"/>
    <n v="72570"/>
    <n v="72396"/>
    <n v="83"/>
    <s v="FutureOfDriving"/>
    <m/>
    <m/>
    <x v="3"/>
    <n v="0"/>
    <n v="0"/>
    <n v="0"/>
  </r>
  <r>
    <s v="P022"/>
    <s v="Facebook"/>
    <d v="2025-02-27T00:00:00"/>
    <s v="Text"/>
    <s v="Check out our latest text on facebook!"/>
    <n v="1570"/>
    <n v="187"/>
    <n v="260"/>
    <n v="25120"/>
    <n v="24613"/>
    <n v="133"/>
    <s v="TeslaCoInnovation"/>
    <m/>
    <m/>
    <x v="3"/>
    <n v="0"/>
    <n v="0"/>
    <n v="0"/>
  </r>
  <r>
    <s v="P023"/>
    <s v="Facebook"/>
    <d v="2024-11-06T00:00:00"/>
    <s v="Video"/>
    <s v="Check out our latest video on facebook!"/>
    <n v="1606"/>
    <n v="547"/>
    <n v="316"/>
    <n v="32120"/>
    <n v="31736"/>
    <n v="225"/>
    <s v="TeslaCoInnovation"/>
    <s v="AnytimeIsTeslaTime"/>
    <m/>
    <x v="1"/>
    <n v="0"/>
    <n v="200000"/>
    <n v="0"/>
  </r>
  <r>
    <s v="P024"/>
    <s v="Facebook"/>
    <d v="2025-01-23T00:00:00"/>
    <s v="Video"/>
    <s v="Check out our latest video on facebook!"/>
    <n v="3961"/>
    <n v="761"/>
    <n v="131"/>
    <n v="67337"/>
    <n v="66615"/>
    <n v="161"/>
    <s v="FutureOfDriving"/>
    <m/>
    <m/>
    <x v="2"/>
    <n v="0"/>
    <n v="0"/>
    <n v="0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EVRevolution"/>
    <m/>
    <m/>
    <x v="4"/>
    <n v="150000"/>
    <n v="0"/>
    <n v="0"/>
  </r>
  <r>
    <s v="P026"/>
    <s v="YouTube"/>
    <d v="2025-04-05T00:00:00"/>
    <s v="Reel"/>
    <s v="Check out our latest reel on youtube!"/>
    <n v="3009"/>
    <n v="413"/>
    <n v="358"/>
    <n v="42126"/>
    <n v="41309"/>
    <n v="211"/>
    <s v="FutureOfDriving"/>
    <m/>
    <m/>
    <x v="1"/>
    <n v="0"/>
    <n v="0"/>
    <n v="0"/>
  </r>
  <r>
    <s v="P027"/>
    <s v="YouTube"/>
    <d v="2024-09-17T00:00:00"/>
    <s v="Text"/>
    <s v="Check out our latest text on youtube!"/>
    <n v="2076"/>
    <n v="195"/>
    <n v="104"/>
    <n v="33216"/>
    <n v="32244"/>
    <n v="51"/>
    <s v="FutureOfDriving"/>
    <m/>
    <m/>
    <x v="3"/>
    <n v="0"/>
    <n v="0"/>
    <n v="0"/>
  </r>
  <r>
    <s v="P028"/>
    <s v="Instagram"/>
    <d v="2025-03-04T00:00:00"/>
    <s v="Video"/>
    <s v="Check out our latest video on instagram!"/>
    <n v="432"/>
    <n v="624"/>
    <n v="123"/>
    <n v="6912"/>
    <n v="6259"/>
    <n v="79"/>
    <s v="FutureOfDriving"/>
    <m/>
    <m/>
    <x v="3"/>
    <n v="0"/>
    <n v="0"/>
    <n v="0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FutureOfDriving"/>
    <m/>
    <m/>
    <x v="2"/>
    <n v="0"/>
    <n v="0"/>
    <n v="0"/>
  </r>
  <r>
    <s v="P030"/>
    <s v="Instagram"/>
    <d v="2025-02-25T00:00:00"/>
    <s v="Video"/>
    <s v="Check out our latest video on instagram!"/>
    <n v="3095"/>
    <n v="39"/>
    <n v="78"/>
    <n v="55710"/>
    <n v="54808"/>
    <n v="93"/>
    <s v="EVRevolution"/>
    <m/>
    <m/>
    <x v="4"/>
    <n v="150000"/>
    <n v="0"/>
    <n v="0"/>
  </r>
  <r>
    <s v="P031"/>
    <s v="Instagram"/>
    <d v="2024-12-16T00:00:00"/>
    <s v="Text"/>
    <s v="Check out our latest text on instagram!"/>
    <n v="438"/>
    <n v="153"/>
    <n v="275"/>
    <n v="3066"/>
    <n v="2701"/>
    <n v="282"/>
    <s v="TeslaCoInnovation"/>
    <m/>
    <m/>
    <x v="1"/>
    <n v="0"/>
    <n v="0"/>
    <n v="0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EVRevolution"/>
    <m/>
    <m/>
    <x v="0"/>
    <n v="150000"/>
    <n v="0"/>
    <n v="0"/>
  </r>
  <r>
    <s v="P033"/>
    <s v="Facebook"/>
    <d v="2024-08-21T00:00:00"/>
    <s v="Image"/>
    <s v="Check out our latest image on facebook!"/>
    <n v="1407"/>
    <n v="400"/>
    <n v="351"/>
    <n v="16884"/>
    <n v="15954"/>
    <n v="113"/>
    <s v="TeslaCoInnovation"/>
    <m/>
    <m/>
    <x v="0"/>
    <n v="0"/>
    <n v="0"/>
    <n v="0"/>
  </r>
  <r>
    <s v="P034"/>
    <s v="Facebook"/>
    <d v="2025-03-26T00:00:00"/>
    <s v="Text"/>
    <s v="Check out our latest text on facebook!"/>
    <n v="1652"/>
    <n v="89"/>
    <n v="357"/>
    <n v="29736"/>
    <n v="28771"/>
    <n v="215"/>
    <s v="TeslaCoInnovation"/>
    <m/>
    <m/>
    <x v="2"/>
    <n v="0"/>
    <n v="0"/>
    <n v="0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FutureOfDriving"/>
    <m/>
    <m/>
    <x v="1"/>
    <n v="0"/>
    <n v="0"/>
    <n v="0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EVRevolution"/>
    <m/>
    <m/>
    <x v="1"/>
    <n v="150000"/>
    <n v="0"/>
    <n v="0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EVRevolution"/>
    <m/>
    <m/>
    <x v="1"/>
    <n v="150000"/>
    <n v="0"/>
    <n v="0"/>
  </r>
  <r>
    <s v="P038"/>
    <s v="YouTube"/>
    <d v="2025-02-17T00:00:00"/>
    <s v="Reel"/>
    <s v="Check out our latest reel on youtube!"/>
    <n v="3138"/>
    <n v="123"/>
    <n v="291"/>
    <n v="28242"/>
    <n v="27550"/>
    <n v="87"/>
    <s v="TeslaCoInnovation"/>
    <m/>
    <m/>
    <x v="3"/>
    <n v="0"/>
    <n v="0"/>
    <n v="0"/>
  </r>
  <r>
    <s v="P039"/>
    <s v="Facebook"/>
    <d v="2024-11-25T00:00:00"/>
    <s v="Image"/>
    <s v="Check out our latest image on facebook!"/>
    <n v="3564"/>
    <n v="629"/>
    <n v="177"/>
    <n v="60588"/>
    <n v="59627"/>
    <n v="92"/>
    <s v="TeslaCoInnovation"/>
    <m/>
    <m/>
    <x v="4"/>
    <n v="0"/>
    <n v="0"/>
    <n v="0"/>
  </r>
  <r>
    <s v="P040"/>
    <s v="Twitter"/>
    <d v="2025-03-07T00:00:00"/>
    <s v="Image"/>
    <s v="Check out our latest image on twitter!"/>
    <n v="4750"/>
    <n v="151"/>
    <n v="415"/>
    <n v="38000"/>
    <n v="37792"/>
    <n v="299"/>
    <s v="EVRevolution"/>
    <m/>
    <m/>
    <x v="3"/>
    <n v="150000"/>
    <n v="0"/>
    <n v="0"/>
  </r>
  <r>
    <s v="P041"/>
    <s v="Instagram"/>
    <d v="2025-03-08T00:00:00"/>
    <s v="Reel"/>
    <s v="Check out our latest reel on instagram!"/>
    <n v="456"/>
    <n v="629"/>
    <n v="428"/>
    <n v="8208"/>
    <n v="7377"/>
    <n v="205"/>
    <s v="FutureOfDriving"/>
    <m/>
    <m/>
    <x v="3"/>
    <n v="0"/>
    <n v="0"/>
    <n v="0"/>
  </r>
  <r>
    <s v="P042"/>
    <s v="YouTube"/>
    <d v="2025-03-05T00:00:00"/>
    <s v="Reel"/>
    <s v="Check out our latest reel on youtube!"/>
    <n v="1543"/>
    <n v="820"/>
    <n v="333"/>
    <n v="12344"/>
    <n v="11496"/>
    <n v="241"/>
    <s v="EVRevolution"/>
    <m/>
    <m/>
    <x v="4"/>
    <n v="150000"/>
    <n v="0"/>
    <n v="0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TeslaCoInnovation"/>
    <m/>
    <m/>
    <x v="2"/>
    <n v="0"/>
    <n v="0"/>
    <n v="0"/>
  </r>
  <r>
    <s v="P044"/>
    <s v="Twitter"/>
    <d v="2025-03-02T00:00:00"/>
    <s v="Image"/>
    <s v="Check out our latest image on twitter!"/>
    <n v="2358"/>
    <n v="784"/>
    <n v="344"/>
    <n v="35370"/>
    <n v="34475"/>
    <n v="216"/>
    <s v="TeslaCoInnovation"/>
    <m/>
    <m/>
    <x v="4"/>
    <n v="0"/>
    <n v="0"/>
    <n v="0"/>
  </r>
  <r>
    <s v="P045"/>
    <s v="Facebook"/>
    <d v="2024-11-01T00:00:00"/>
    <s v="Video"/>
    <s v="Check out our latest video on facebook!"/>
    <n v="3371"/>
    <n v="106"/>
    <n v="327"/>
    <n v="50565"/>
    <n v="49816"/>
    <n v="176"/>
    <s v="FutureOfDriving"/>
    <m/>
    <m/>
    <x v="0"/>
    <n v="0"/>
    <n v="0"/>
    <n v="0"/>
  </r>
  <r>
    <s v="P046"/>
    <s v="Twitter"/>
    <d v="2025-05-02T00:00:00"/>
    <s v="Video"/>
    <s v="Check out our latest video on twitter!"/>
    <n v="1108"/>
    <n v="177"/>
    <n v="212"/>
    <n v="8864"/>
    <n v="8710"/>
    <n v="97"/>
    <s v="TeslaCoInnovation"/>
    <m/>
    <m/>
    <x v="3"/>
    <n v="0"/>
    <n v="0"/>
    <n v="0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FutureOfDriving"/>
    <m/>
    <m/>
    <x v="4"/>
    <n v="0"/>
    <n v="0"/>
    <n v="0"/>
  </r>
  <r>
    <s v="P048"/>
    <s v="Twitter"/>
    <d v="2025-03-11T00:00:00"/>
    <s v="Story"/>
    <s v="Check out our latest story on twitter!"/>
    <n v="1950"/>
    <n v="295"/>
    <n v="478"/>
    <n v="37050"/>
    <n v="36272"/>
    <n v="119"/>
    <s v="TeslaCoInnovation"/>
    <m/>
    <m/>
    <x v="4"/>
    <n v="0"/>
    <n v="0"/>
    <n v="0"/>
  </r>
  <r>
    <s v="P049"/>
    <s v="Twitter"/>
    <d v="2024-06-10T00:00:00"/>
    <s v="Story"/>
    <s v="Check out our latest story on twitter!"/>
    <n v="2164"/>
    <n v="549"/>
    <n v="274"/>
    <n v="28132"/>
    <n v="27361"/>
    <n v="177"/>
    <s v="TeslaCoInnovation"/>
    <m/>
    <m/>
    <x v="3"/>
    <n v="0"/>
    <n v="0"/>
    <n v="0"/>
  </r>
  <r>
    <s v="P050"/>
    <s v="YouTube"/>
    <d v="2024-07-03T00:00:00"/>
    <s v="Story"/>
    <s v="Check out our latest story on youtube!"/>
    <n v="2754"/>
    <n v="130"/>
    <n v="90"/>
    <n v="22032"/>
    <n v="21288"/>
    <n v="112"/>
    <s v="TeslaCoInnovation"/>
    <m/>
    <m/>
    <x v="2"/>
    <n v="0"/>
    <n v="0"/>
    <n v="0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FutureOfDriving"/>
    <m/>
    <m/>
    <x v="1"/>
    <n v="0"/>
    <n v="0"/>
    <n v="0"/>
  </r>
  <r>
    <s v="P052"/>
    <s v="Facebook"/>
    <d v="2025-01-03T00:00:00"/>
    <s v="Image"/>
    <s v="Check out our latest image on facebook!"/>
    <n v="947"/>
    <n v="338"/>
    <n v="350"/>
    <n v="10417"/>
    <n v="9730"/>
    <n v="34"/>
    <s v="TeslaCoInnovation"/>
    <m/>
    <m/>
    <x v="3"/>
    <n v="0"/>
    <n v="0"/>
    <n v="0"/>
  </r>
  <r>
    <s v="P053"/>
    <s v="YouTube"/>
    <d v="2025-02-24T00:00:00"/>
    <s v="Carousel"/>
    <s v="Check out our latest carousel on youtube!"/>
    <n v="804"/>
    <n v="639"/>
    <n v="43"/>
    <n v="4020"/>
    <n v="3144"/>
    <n v="11"/>
    <s v="EVRevolution"/>
    <s v="BetterWithTesla"/>
    <m/>
    <x v="4"/>
    <n v="150000"/>
    <n v="180000"/>
    <n v="0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FutureOfDriving"/>
    <m/>
    <m/>
    <x v="1"/>
    <n v="0"/>
    <n v="0"/>
    <n v="0"/>
  </r>
  <r>
    <s v="P055"/>
    <s v="Facebook"/>
    <d v="2024-06-17T00:00:00"/>
    <s v="Image"/>
    <s v="Check out our latest image on facebook!"/>
    <n v="1226"/>
    <n v="119"/>
    <n v="7"/>
    <n v="14712"/>
    <n v="14049"/>
    <n v="123"/>
    <s v="EVRevolution"/>
    <m/>
    <m/>
    <x v="3"/>
    <n v="150000"/>
    <n v="0"/>
    <n v="0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FutureOfDriving"/>
    <m/>
    <m/>
    <x v="2"/>
    <n v="0"/>
    <n v="0"/>
    <n v="0"/>
  </r>
  <r>
    <s v="P057"/>
    <s v="Twitter"/>
    <d v="2024-10-21T00:00:00"/>
    <s v="Video"/>
    <s v="Check out our latest video on twitter!"/>
    <n v="2825"/>
    <n v="535"/>
    <n v="295"/>
    <n v="45200"/>
    <n v="44739"/>
    <n v="169"/>
    <s v="TeslaCoInnovation"/>
    <m/>
    <m/>
    <x v="0"/>
    <n v="0"/>
    <n v="0"/>
    <n v="0"/>
  </r>
  <r>
    <s v="P058"/>
    <s v="Instagram"/>
    <d v="2025-04-15T00:00:00"/>
    <s v="Reel"/>
    <s v="Check out our latest reel on instagram!"/>
    <n v="103"/>
    <n v="770"/>
    <n v="19"/>
    <n v="1030"/>
    <n v="410"/>
    <n v="262"/>
    <s v="TeslaCoInnovation"/>
    <m/>
    <m/>
    <x v="3"/>
    <n v="0"/>
    <n v="0"/>
    <n v="0"/>
  </r>
  <r>
    <s v="P059"/>
    <s v="Instagram"/>
    <d v="2024-06-22T00:00:00"/>
    <s v="Text"/>
    <s v="Check out our latest text on instagram!"/>
    <n v="2180"/>
    <n v="263"/>
    <n v="387"/>
    <n v="30520"/>
    <n v="30059"/>
    <n v="174"/>
    <s v="EVRevolution"/>
    <m/>
    <m/>
    <x v="4"/>
    <n v="150000"/>
    <n v="0"/>
    <n v="0"/>
  </r>
  <r>
    <s v="P060"/>
    <s v="Instagram"/>
    <d v="2025-01-28T00:00:00"/>
    <s v="Video"/>
    <s v="Check out our latest video on instagram!"/>
    <n v="904"/>
    <n v="973"/>
    <n v="63"/>
    <n v="11752"/>
    <n v="11580"/>
    <n v="84"/>
    <s v="EVRevolution"/>
    <s v="TeslaCoInnovation"/>
    <s v="AnytimeIsTeslaTime"/>
    <x v="2"/>
    <n v="150000"/>
    <n v="0"/>
    <n v="200000"/>
  </r>
  <r>
    <s v="P061"/>
    <s v="Twitter"/>
    <d v="2024-09-05T00:00:00"/>
    <s v="Video"/>
    <s v="Check out our latest video on twitter!"/>
    <n v="4886"/>
    <n v="983"/>
    <n v="409"/>
    <n v="43974"/>
    <n v="43239"/>
    <n v="65"/>
    <s v="TeslaCoInnovation"/>
    <m/>
    <m/>
    <x v="0"/>
    <n v="0"/>
    <n v="0"/>
    <n v="0"/>
  </r>
  <r>
    <s v="P062"/>
    <s v="Twitter"/>
    <d v="2024-11-22T00:00:00"/>
    <s v="Carousel"/>
    <s v="Check out our latest carousel on twitter!"/>
    <n v="53"/>
    <n v="81"/>
    <n v="379"/>
    <n v="954"/>
    <n v="7"/>
    <n v="148"/>
    <s v="TeslaCoInnovation"/>
    <m/>
    <m/>
    <x v="2"/>
    <n v="0"/>
    <n v="0"/>
    <n v="0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FutureOfDriving"/>
    <m/>
    <m/>
    <x v="2"/>
    <n v="0"/>
    <n v="0"/>
    <n v="0"/>
  </r>
  <r>
    <s v="P064"/>
    <s v="Facebook"/>
    <d v="2024-08-17T00:00:00"/>
    <s v="Image"/>
    <s v="Check out our latest image on facebook!"/>
    <n v="2878"/>
    <n v="248"/>
    <n v="416"/>
    <n v="43170"/>
    <n v="42667"/>
    <n v="75"/>
    <s v="FutureOfDriving"/>
    <m/>
    <m/>
    <x v="2"/>
    <n v="0"/>
    <n v="0"/>
    <n v="0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EVRevolution"/>
    <m/>
    <m/>
    <x v="4"/>
    <n v="150000"/>
    <n v="0"/>
    <n v="0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EVRevolution"/>
    <m/>
    <m/>
    <x v="0"/>
    <n v="150000"/>
    <n v="0"/>
    <n v="0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EVRevolution"/>
    <m/>
    <m/>
    <x v="2"/>
    <n v="150000"/>
    <n v="0"/>
    <n v="0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EVRevolution"/>
    <m/>
    <m/>
    <x v="4"/>
    <n v="150000"/>
    <n v="0"/>
    <n v="0"/>
  </r>
  <r>
    <s v="P069"/>
    <s v="Twitter"/>
    <d v="2025-03-08T00:00:00"/>
    <s v="Text"/>
    <s v="Check out our latest text on twitter!"/>
    <n v="1292"/>
    <n v="626"/>
    <n v="496"/>
    <n v="25840"/>
    <n v="24916"/>
    <n v="149"/>
    <s v="FutureOfDriving"/>
    <m/>
    <m/>
    <x v="2"/>
    <n v="0"/>
    <n v="0"/>
    <n v="0"/>
  </r>
  <r>
    <s v="P070"/>
    <s v="Facebook"/>
    <d v="2025-04-02T00:00:00"/>
    <s v="Video"/>
    <s v="Check out our latest video on facebook!"/>
    <n v="199"/>
    <n v="772"/>
    <n v="400"/>
    <n v="3582"/>
    <n v="2988"/>
    <n v="43"/>
    <s v="TeslaCoInnovation"/>
    <m/>
    <m/>
    <x v="4"/>
    <n v="0"/>
    <n v="0"/>
    <n v="0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TeslaCoInnovation"/>
    <m/>
    <m/>
    <x v="1"/>
    <n v="0"/>
    <n v="0"/>
    <n v="0"/>
  </r>
  <r>
    <s v="P072"/>
    <s v="YouTube"/>
    <d v="2025-03-03T00:00:00"/>
    <s v="Reel"/>
    <s v="Check out our latest reel on youtube!"/>
    <n v="296"/>
    <n v="60"/>
    <n v="141"/>
    <n v="5624"/>
    <n v="5239"/>
    <n v="88"/>
    <s v="EVRevolution"/>
    <m/>
    <m/>
    <x v="1"/>
    <n v="150000"/>
    <n v="0"/>
    <n v="0"/>
  </r>
  <r>
    <s v="P073"/>
    <s v="Facebook"/>
    <d v="2024-10-18T00:00:00"/>
    <s v="Story"/>
    <s v="Check out our latest story on facebook!"/>
    <n v="4126"/>
    <n v="426"/>
    <n v="486"/>
    <n v="78394"/>
    <n v="77798"/>
    <n v="88"/>
    <s v="FutureOfDriving"/>
    <m/>
    <m/>
    <x v="3"/>
    <n v="0"/>
    <n v="0"/>
    <n v="0"/>
  </r>
  <r>
    <s v="P074"/>
    <s v="YouTube"/>
    <d v="2024-10-28T00:00:00"/>
    <s v="Reel"/>
    <s v="Check out our latest reel on youtube!"/>
    <n v="1855"/>
    <n v="200"/>
    <n v="174"/>
    <n v="16695"/>
    <n v="16330"/>
    <n v="123"/>
    <s v="TeslaCoInnovation"/>
    <m/>
    <m/>
    <x v="2"/>
    <n v="0"/>
    <n v="0"/>
    <n v="0"/>
  </r>
  <r>
    <s v="P075"/>
    <s v="Instagram"/>
    <d v="2024-08-01T00:00:00"/>
    <s v="Reel"/>
    <s v="Check out our latest reel on instagram!"/>
    <n v="1674"/>
    <n v="929"/>
    <n v="37"/>
    <n v="21762"/>
    <n v="20998"/>
    <n v="255"/>
    <s v="TeslaCoInnovation"/>
    <m/>
    <m/>
    <x v="3"/>
    <n v="0"/>
    <n v="0"/>
    <n v="0"/>
  </r>
  <r>
    <s v="P076"/>
    <s v="Twitter"/>
    <d v="2024-11-07T00:00:00"/>
    <s v="Story"/>
    <s v="Check out our latest story on twitter!"/>
    <n v="1121"/>
    <n v="135"/>
    <n v="18"/>
    <n v="15694"/>
    <n v="14957"/>
    <n v="99"/>
    <s v="TeslaCoInnovation"/>
    <m/>
    <m/>
    <x v="3"/>
    <n v="0"/>
    <n v="0"/>
    <n v="0"/>
  </r>
  <r>
    <s v="P077"/>
    <s v="Facebook"/>
    <d v="2025-03-04T00:00:00"/>
    <s v="Story"/>
    <s v="Check out our latest story on facebook!"/>
    <n v="1249"/>
    <n v="116"/>
    <n v="420"/>
    <n v="8743"/>
    <n v="8538"/>
    <n v="63"/>
    <s v="TeslaCoInnovation"/>
    <m/>
    <m/>
    <x v="4"/>
    <n v="0"/>
    <n v="0"/>
    <n v="0"/>
  </r>
  <r>
    <s v="P078"/>
    <s v="Twitter"/>
    <d v="2024-06-17T00:00:00"/>
    <s v="Image"/>
    <s v="Check out our latest image on twitter!"/>
    <n v="954"/>
    <n v="324"/>
    <n v="288"/>
    <n v="19080"/>
    <n v="18859"/>
    <n v="21"/>
    <s v="FutureOfDriving"/>
    <m/>
    <m/>
    <x v="3"/>
    <n v="0"/>
    <n v="0"/>
    <n v="0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EVRevolution"/>
    <m/>
    <m/>
    <x v="1"/>
    <n v="150000"/>
    <n v="0"/>
    <n v="0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FutureOfDriving"/>
    <m/>
    <m/>
    <x v="4"/>
    <n v="0"/>
    <n v="0"/>
    <n v="0"/>
  </r>
  <r>
    <s v="P081"/>
    <s v="Instagram"/>
    <d v="2024-10-19T00:00:00"/>
    <s v="Story"/>
    <s v="Check out our latest story on instagram!"/>
    <n v="1816"/>
    <n v="29"/>
    <n v="41"/>
    <n v="19976"/>
    <n v="19262"/>
    <n v="283"/>
    <s v="TeslaCoInnovation"/>
    <m/>
    <m/>
    <x v="2"/>
    <n v="0"/>
    <n v="0"/>
    <n v="0"/>
  </r>
  <r>
    <s v="P082"/>
    <s v="Instagram"/>
    <d v="2024-07-24T00:00:00"/>
    <s v="Image"/>
    <s v="Check out our latest image on instagram!"/>
    <n v="725"/>
    <n v="88"/>
    <n v="428"/>
    <n v="14500"/>
    <n v="13637"/>
    <n v="200"/>
    <s v="FutureOfDriving"/>
    <s v="TeslaCoInnovation"/>
    <s v="AnytimeIsTeslaTime"/>
    <x v="2"/>
    <n v="0"/>
    <n v="0"/>
    <n v="200000"/>
  </r>
  <r>
    <s v="P083"/>
    <s v="YouTube"/>
    <d v="2024-10-15T00:00:00"/>
    <s v="Video"/>
    <s v="Check out our latest video on youtube!"/>
    <n v="1094"/>
    <n v="472"/>
    <n v="21"/>
    <n v="9846"/>
    <n v="9609"/>
    <n v="112"/>
    <s v="EVRevolution"/>
    <m/>
    <m/>
    <x v="4"/>
    <n v="150000"/>
    <n v="0"/>
    <n v="0"/>
  </r>
  <r>
    <s v="P084"/>
    <s v="Facebook"/>
    <d v="2024-12-09T00:00:00"/>
    <s v="Image"/>
    <s v="Check out our latest image on facebook!"/>
    <n v="1841"/>
    <n v="851"/>
    <n v="342"/>
    <n v="34979"/>
    <n v="34154"/>
    <n v="255"/>
    <s v="FutureOfDriving"/>
    <m/>
    <m/>
    <x v="3"/>
    <n v="0"/>
    <n v="0"/>
    <n v="0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FutureOfDriving"/>
    <m/>
    <m/>
    <x v="0"/>
    <n v="0"/>
    <n v="0"/>
    <n v="0"/>
  </r>
  <r>
    <s v="P086"/>
    <s v="YouTube"/>
    <d v="2025-01-27T00:00:00"/>
    <s v="Text"/>
    <s v="Check out our latest text on youtube!"/>
    <n v="3428"/>
    <n v="305"/>
    <n v="85"/>
    <n v="58276"/>
    <n v="58052"/>
    <n v="242"/>
    <s v="EVRevolution"/>
    <s v="BetterWithTesla"/>
    <m/>
    <x v="3"/>
    <n v="150000"/>
    <n v="180000"/>
    <n v="0"/>
  </r>
  <r>
    <s v="P087"/>
    <s v="Twitter"/>
    <d v="2024-06-06T00:00:00"/>
    <s v="Video"/>
    <s v="Check out our latest video on twitter!"/>
    <n v="1436"/>
    <n v="765"/>
    <n v="496"/>
    <n v="12924"/>
    <n v="12701"/>
    <n v="197"/>
    <s v="FutureOfDriving"/>
    <m/>
    <m/>
    <x v="2"/>
    <n v="0"/>
    <n v="0"/>
    <n v="0"/>
  </r>
  <r>
    <s v="P088"/>
    <s v="Facebook"/>
    <d v="2024-07-07T00:00:00"/>
    <s v="Story"/>
    <s v="Check out our latest story on facebook!"/>
    <n v="302"/>
    <n v="47"/>
    <n v="430"/>
    <n v="5738"/>
    <n v="4890"/>
    <n v="25"/>
    <s v="TeslaCoInnovation"/>
    <m/>
    <m/>
    <x v="3"/>
    <n v="0"/>
    <n v="0"/>
    <n v="0"/>
  </r>
  <r>
    <s v="P089"/>
    <s v="Twitter"/>
    <d v="2025-01-10T00:00:00"/>
    <s v="Image"/>
    <s v="Check out our latest image on twitter!"/>
    <n v="2214"/>
    <n v="249"/>
    <n v="152"/>
    <n v="15498"/>
    <n v="14800"/>
    <n v="180"/>
    <s v="EVRevolution"/>
    <m/>
    <m/>
    <x v="4"/>
    <n v="150000"/>
    <n v="0"/>
    <n v="0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TeslaCoInnovation"/>
    <m/>
    <m/>
    <x v="3"/>
    <n v="0"/>
    <n v="0"/>
    <n v="0"/>
  </r>
  <r>
    <s v="P091"/>
    <s v="Facebook"/>
    <d v="2025-03-24T00:00:00"/>
    <s v="Image"/>
    <s v="Check out our latest image on facebook!"/>
    <n v="1263"/>
    <n v="397"/>
    <n v="357"/>
    <n v="25260"/>
    <n v="24615"/>
    <n v="137"/>
    <s v="EVRevolution"/>
    <m/>
    <m/>
    <x v="3"/>
    <n v="150000"/>
    <n v="0"/>
    <n v="0"/>
  </r>
  <r>
    <s v="P092"/>
    <s v="Twitter"/>
    <d v="2024-10-21T00:00:00"/>
    <s v="Story"/>
    <s v="Check out our latest story on twitter!"/>
    <n v="3801"/>
    <n v="967"/>
    <n v="401"/>
    <n v="38010"/>
    <n v="37625"/>
    <n v="236"/>
    <s v="FutureOfDriving"/>
    <m/>
    <m/>
    <x v="2"/>
    <n v="0"/>
    <n v="0"/>
    <n v="0"/>
  </r>
  <r>
    <s v="P093"/>
    <s v="Instagram"/>
    <d v="2024-12-11T00:00:00"/>
    <s v="Video"/>
    <s v="Check out our latest video on instagram!"/>
    <n v="1431"/>
    <n v="951"/>
    <n v="26"/>
    <n v="8586"/>
    <n v="8396"/>
    <n v="150"/>
    <s v="EVRevolution"/>
    <m/>
    <m/>
    <x v="2"/>
    <n v="150000"/>
    <n v="0"/>
    <n v="0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FutureOfDriving"/>
    <m/>
    <m/>
    <x v="2"/>
    <n v="0"/>
    <n v="0"/>
    <n v="0"/>
  </r>
  <r>
    <s v="P095"/>
    <s v="Instagram"/>
    <d v="2024-11-08T00:00:00"/>
    <s v="Text"/>
    <s v="Check out our latest text on instagram!"/>
    <n v="3182"/>
    <n v="559"/>
    <n v="160"/>
    <n v="57276"/>
    <n v="56890"/>
    <n v="163"/>
    <s v="FutureOfDriving"/>
    <m/>
    <m/>
    <x v="3"/>
    <n v="0"/>
    <n v="0"/>
    <n v="0"/>
  </r>
  <r>
    <s v="P096"/>
    <s v="Twitter"/>
    <d v="2024-09-10T00:00:00"/>
    <s v="Image"/>
    <s v="Check out our latest image on twitter!"/>
    <n v="1238"/>
    <n v="366"/>
    <n v="444"/>
    <n v="19808"/>
    <n v="19334"/>
    <n v="123"/>
    <s v="FutureOfDriving"/>
    <m/>
    <m/>
    <x v="4"/>
    <n v="0"/>
    <n v="0"/>
    <n v="0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TeslaCoInnovation"/>
    <s v="AnytimeIsTeslaTime"/>
    <m/>
    <x v="1"/>
    <n v="0"/>
    <n v="200000"/>
    <n v="0"/>
  </r>
  <r>
    <s v="P098"/>
    <s v="Twitter"/>
    <d v="2024-06-10T00:00:00"/>
    <s v="Story"/>
    <s v="Check out our latest story on twitter!"/>
    <n v="1575"/>
    <n v="771"/>
    <n v="486"/>
    <n v="25200"/>
    <n v="24826"/>
    <n v="17"/>
    <s v="FutureOfDriving"/>
    <m/>
    <m/>
    <x v="3"/>
    <n v="0"/>
    <n v="0"/>
    <n v="0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FutureOfDriving"/>
    <m/>
    <m/>
    <x v="2"/>
    <n v="0"/>
    <n v="0"/>
    <n v="0"/>
  </r>
  <r>
    <s v="P100"/>
    <s v="YouTube"/>
    <d v="2025-02-10T00:00:00"/>
    <s v="Video"/>
    <s v="Check out our latest video on youtube!"/>
    <n v="1766"/>
    <n v="92"/>
    <n v="424"/>
    <n v="24724"/>
    <n v="24333"/>
    <n v="52"/>
    <s v="EVRevolution"/>
    <m/>
    <m/>
    <x v="4"/>
    <n v="150000"/>
    <n v="0"/>
    <n v="0"/>
  </r>
  <r>
    <s v="P101"/>
    <s v="YouTube"/>
    <d v="2024-10-18T00:00:00"/>
    <s v="Video"/>
    <s v="Check out our latest video on youtube!"/>
    <n v="4450"/>
    <n v="983"/>
    <n v="143"/>
    <n v="75650"/>
    <n v="75008"/>
    <n v="12"/>
    <s v="FutureOfDriving"/>
    <m/>
    <m/>
    <x v="2"/>
    <n v="0"/>
    <n v="0"/>
    <n v="0"/>
  </r>
  <r>
    <s v="P102"/>
    <s v="Twitter"/>
    <d v="2024-09-18T00:00:00"/>
    <s v="Reel"/>
    <s v="Check out our latest reel on twitter!"/>
    <n v="1000"/>
    <n v="978"/>
    <n v="162"/>
    <n v="6000"/>
    <n v="5221"/>
    <n v="223"/>
    <s v="EVRevolution"/>
    <m/>
    <m/>
    <x v="1"/>
    <n v="150000"/>
    <n v="0"/>
    <n v="0"/>
  </r>
  <r>
    <s v="P103"/>
    <s v="Facebook"/>
    <d v="2024-06-11T00:00:00"/>
    <s v="Image"/>
    <s v="Check out our latest image on facebook!"/>
    <n v="3689"/>
    <n v="48"/>
    <n v="306"/>
    <n v="40579"/>
    <n v="39588"/>
    <n v="212"/>
    <s v="EVRevolution"/>
    <m/>
    <m/>
    <x v="1"/>
    <n v="150000"/>
    <n v="0"/>
    <n v="0"/>
  </r>
  <r>
    <s v="P104"/>
    <s v="YouTube"/>
    <d v="2025-03-23T00:00:00"/>
    <s v="Story"/>
    <s v="Check out our latest story on youtube!"/>
    <n v="3655"/>
    <n v="568"/>
    <n v="286"/>
    <n v="32895"/>
    <n v="32015"/>
    <n v="199"/>
    <s v="TeslaCoInnovation"/>
    <m/>
    <m/>
    <x v="2"/>
    <n v="0"/>
    <n v="0"/>
    <n v="0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FutureOfDriving"/>
    <m/>
    <m/>
    <x v="0"/>
    <n v="0"/>
    <n v="0"/>
    <n v="0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TeslaCoInnovation"/>
    <m/>
    <m/>
    <x v="3"/>
    <n v="0"/>
    <n v="0"/>
    <n v="0"/>
  </r>
  <r>
    <s v="P107"/>
    <s v="YouTube"/>
    <d v="2024-06-21T00:00:00"/>
    <s v="Image"/>
    <s v="Check out our latest image on youtube!"/>
    <n v="4832"/>
    <n v="893"/>
    <n v="10"/>
    <n v="91808"/>
    <n v="91296"/>
    <n v="182"/>
    <s v="TeslaCoInnovation"/>
    <m/>
    <m/>
    <x v="4"/>
    <n v="0"/>
    <n v="0"/>
    <n v="0"/>
  </r>
  <r>
    <s v="P108"/>
    <s v="Twitter"/>
    <d v="2025-03-25T00:00:00"/>
    <s v="Video"/>
    <s v="Check out our latest video on twitter!"/>
    <n v="4050"/>
    <n v="871"/>
    <n v="347"/>
    <n v="52650"/>
    <n v="51755"/>
    <n v="209"/>
    <s v="TeslaCoInnovation"/>
    <m/>
    <m/>
    <x v="1"/>
    <n v="0"/>
    <n v="0"/>
    <n v="0"/>
  </r>
  <r>
    <s v="P109"/>
    <s v="Twitter"/>
    <d v="2024-08-08T00:00:00"/>
    <s v="Story"/>
    <s v="Check out our latest story on twitter!"/>
    <n v="3649"/>
    <n v="215"/>
    <n v="413"/>
    <n v="25543"/>
    <n v="24963"/>
    <n v="167"/>
    <s v="FutureOfDriving"/>
    <m/>
    <m/>
    <x v="2"/>
    <n v="0"/>
    <n v="0"/>
    <n v="0"/>
  </r>
  <r>
    <s v="P110"/>
    <s v="Instagram"/>
    <d v="2024-07-29T00:00:00"/>
    <s v="Reel"/>
    <s v="Check out our latest reel on instagram!"/>
    <n v="3523"/>
    <n v="753"/>
    <n v="482"/>
    <n v="38753"/>
    <n v="38579"/>
    <n v="270"/>
    <s v="EVRevolution"/>
    <m/>
    <m/>
    <x v="1"/>
    <n v="150000"/>
    <n v="0"/>
    <n v="0"/>
  </r>
  <r>
    <s v="P111"/>
    <s v="YouTube"/>
    <d v="2024-11-23T00:00:00"/>
    <s v="Image"/>
    <s v="Check out our latest image on youtube!"/>
    <n v="2719"/>
    <n v="17"/>
    <n v="285"/>
    <n v="40785"/>
    <n v="40281"/>
    <n v="40"/>
    <s v="TeslaCoInnovation"/>
    <m/>
    <m/>
    <x v="1"/>
    <n v="0"/>
    <n v="0"/>
    <n v="0"/>
  </r>
  <r>
    <s v="P112"/>
    <s v="Twitter"/>
    <d v="2024-10-05T00:00:00"/>
    <s v="Story"/>
    <s v="Check out our latest story on twitter!"/>
    <n v="1957"/>
    <n v="877"/>
    <n v="238"/>
    <n v="17613"/>
    <n v="16865"/>
    <n v="297"/>
    <s v="FutureOfDriving"/>
    <m/>
    <m/>
    <x v="2"/>
    <n v="0"/>
    <n v="0"/>
    <n v="0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EVRevolution"/>
    <m/>
    <m/>
    <x v="0"/>
    <n v="150000"/>
    <n v="0"/>
    <n v="0"/>
  </r>
  <r>
    <s v="P114"/>
    <s v="Twitter"/>
    <d v="2024-11-14T00:00:00"/>
    <s v="Story"/>
    <s v="Check out our latest story on twitter!"/>
    <n v="4000"/>
    <n v="689"/>
    <n v="488"/>
    <n v="40000"/>
    <n v="39569"/>
    <n v="44"/>
    <s v="FutureOfDriving"/>
    <m/>
    <m/>
    <x v="0"/>
    <n v="0"/>
    <n v="0"/>
    <n v="0"/>
  </r>
  <r>
    <s v="P115"/>
    <s v="Twitter"/>
    <d v="2025-05-11T00:00:00"/>
    <s v="Image"/>
    <s v="Check out our latest image on twitter!"/>
    <n v="2493"/>
    <n v="97"/>
    <n v="44"/>
    <n v="42381"/>
    <n v="41991"/>
    <n v="242"/>
    <s v="TeslaCoInnovation"/>
    <s v="AnytimeIsTeslaTime"/>
    <m/>
    <x v="3"/>
    <n v="0"/>
    <n v="200000"/>
    <n v="0"/>
  </r>
  <r>
    <s v="P116"/>
    <s v="YouTube"/>
    <d v="2025-03-18T00:00:00"/>
    <s v="Reel"/>
    <s v="Check out our latest reel on youtube!"/>
    <n v="3704"/>
    <n v="186"/>
    <n v="458"/>
    <n v="25928"/>
    <n v="25081"/>
    <n v="131"/>
    <s v="TeslaCoInnovation"/>
    <m/>
    <m/>
    <x v="4"/>
    <n v="0"/>
    <n v="0"/>
    <n v="0"/>
  </r>
  <r>
    <s v="P117"/>
    <s v="Twitter"/>
    <d v="2024-11-04T00:00:00"/>
    <s v="Image"/>
    <s v="Check out our latest image on twitter!"/>
    <n v="1606"/>
    <n v="451"/>
    <n v="405"/>
    <n v="20878"/>
    <n v="20190"/>
    <n v="219"/>
    <s v="EVRevolution"/>
    <m/>
    <m/>
    <x v="3"/>
    <n v="150000"/>
    <n v="0"/>
    <n v="0"/>
  </r>
  <r>
    <s v="P118"/>
    <s v="Facebook"/>
    <d v="2024-11-04T00:00:00"/>
    <s v="Image"/>
    <s v="Check out our latest image on facebook!"/>
    <n v="4551"/>
    <n v="714"/>
    <n v="207"/>
    <n v="68265"/>
    <n v="67754"/>
    <n v="57"/>
    <s v="FutureOfDriving"/>
    <m/>
    <m/>
    <x v="2"/>
    <n v="0"/>
    <n v="0"/>
    <n v="0"/>
  </r>
  <r>
    <s v="P119"/>
    <s v="Instagram"/>
    <d v="2025-02-07T00:00:00"/>
    <s v="Reel"/>
    <s v="Check out our latest reel on instagram!"/>
    <n v="1970"/>
    <n v="675"/>
    <n v="478"/>
    <n v="9850"/>
    <n v="8924"/>
    <n v="117"/>
    <s v="FutureOfDriving"/>
    <m/>
    <m/>
    <x v="4"/>
    <n v="0"/>
    <n v="0"/>
    <n v="0"/>
  </r>
  <r>
    <s v="P120"/>
    <s v="Facebook"/>
    <d v="2024-10-21T00:00:00"/>
    <s v="Story"/>
    <s v="Check out our latest story on facebook!"/>
    <n v="780"/>
    <n v="928"/>
    <n v="301"/>
    <n v="8580"/>
    <n v="8081"/>
    <n v="91"/>
    <s v="EVRevolution"/>
    <m/>
    <m/>
    <x v="2"/>
    <n v="150000"/>
    <n v="0"/>
    <n v="0"/>
  </r>
  <r>
    <s v="P121"/>
    <s v="Instagram"/>
    <d v="2024-07-29T00:00:00"/>
    <s v="Story"/>
    <s v="Check out our latest story on instagram!"/>
    <n v="498"/>
    <n v="701"/>
    <n v="412"/>
    <n v="4980"/>
    <n v="4185"/>
    <n v="185"/>
    <s v="FutureOfDriving"/>
    <m/>
    <m/>
    <x v="4"/>
    <n v="0"/>
    <n v="0"/>
    <n v="0"/>
  </r>
  <r>
    <s v="P122"/>
    <s v="Instagram"/>
    <d v="2024-10-02T00:00:00"/>
    <s v="Text"/>
    <s v="Check out our latest text on instagram!"/>
    <n v="3432"/>
    <n v="869"/>
    <n v="123"/>
    <n v="54912"/>
    <n v="53916"/>
    <n v="264"/>
    <s v="EVRevolution"/>
    <m/>
    <m/>
    <x v="1"/>
    <n v="150000"/>
    <n v="0"/>
    <n v="0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EVRevolution"/>
    <m/>
    <m/>
    <x v="0"/>
    <n v="150000"/>
    <n v="0"/>
    <n v="0"/>
  </r>
  <r>
    <s v="P124"/>
    <s v="YouTube"/>
    <d v="2025-04-06T00:00:00"/>
    <s v="Carousel"/>
    <s v="Check out our latest carousel on youtube!"/>
    <n v="736"/>
    <n v="771"/>
    <n v="225"/>
    <n v="5152"/>
    <n v="4706"/>
    <n v="19"/>
    <s v="EVRevolution"/>
    <m/>
    <m/>
    <x v="0"/>
    <n v="150000"/>
    <n v="0"/>
    <n v="0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TeslaCoInnovation"/>
    <m/>
    <m/>
    <x v="3"/>
    <n v="0"/>
    <n v="0"/>
    <n v="0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FutureOfDriving"/>
    <m/>
    <m/>
    <x v="4"/>
    <n v="0"/>
    <n v="0"/>
    <n v="0"/>
  </r>
  <r>
    <s v="P127"/>
    <s v="Facebook"/>
    <d v="2025-01-27T00:00:00"/>
    <s v="Reel"/>
    <s v="Check out our latest reel on facebook!"/>
    <n v="3452"/>
    <n v="652"/>
    <n v="442"/>
    <n v="65588"/>
    <n v="65049"/>
    <n v="158"/>
    <s v="FutureOfDriving"/>
    <m/>
    <m/>
    <x v="2"/>
    <n v="0"/>
    <n v="0"/>
    <n v="0"/>
  </r>
  <r>
    <s v="P128"/>
    <s v="Twitter"/>
    <d v="2025-01-10T00:00:00"/>
    <s v="Image"/>
    <s v="Check out our latest image on twitter!"/>
    <n v="3092"/>
    <n v="106"/>
    <n v="291"/>
    <n v="27828"/>
    <n v="27217"/>
    <n v="102"/>
    <s v="FutureOfDriving"/>
    <m/>
    <m/>
    <x v="4"/>
    <n v="0"/>
    <n v="0"/>
    <n v="0"/>
  </r>
  <r>
    <s v="P129"/>
    <s v="Twitter"/>
    <d v="2024-07-21T00:00:00"/>
    <s v="Text"/>
    <s v="Check out our latest text on twitter!"/>
    <n v="2147"/>
    <n v="430"/>
    <n v="393"/>
    <n v="17176"/>
    <n v="16483"/>
    <n v="170"/>
    <s v="TeslaCoInnovation"/>
    <m/>
    <m/>
    <x v="4"/>
    <n v="0"/>
    <n v="0"/>
    <n v="0"/>
  </r>
  <r>
    <s v="P130"/>
    <s v="YouTube"/>
    <d v="2024-09-29T00:00:00"/>
    <s v="Reel"/>
    <s v="Check out our latest reel on youtube!"/>
    <n v="2936"/>
    <n v="439"/>
    <n v="44"/>
    <n v="38168"/>
    <n v="37571"/>
    <n v="22"/>
    <s v="EVRevolution"/>
    <m/>
    <m/>
    <x v="3"/>
    <n v="150000"/>
    <n v="0"/>
    <n v="0"/>
  </r>
  <r>
    <s v="P131"/>
    <s v="Instagram"/>
    <d v="2024-10-21T00:00:00"/>
    <s v="Reel"/>
    <s v="Check out our latest reel on instagram!"/>
    <n v="4840"/>
    <n v="658"/>
    <n v="211"/>
    <n v="43560"/>
    <n v="43225"/>
    <n v="57"/>
    <s v="FutureOfDriving"/>
    <m/>
    <m/>
    <x v="2"/>
    <n v="0"/>
    <n v="0"/>
    <n v="0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FutureOfDriving"/>
    <m/>
    <m/>
    <x v="1"/>
    <n v="0"/>
    <n v="0"/>
    <n v="0"/>
  </r>
  <r>
    <s v="P133"/>
    <s v="Facebook"/>
    <d v="2025-02-06T00:00:00"/>
    <s v="Image"/>
    <s v="Check out our latest image on facebook!"/>
    <n v="2072"/>
    <n v="532"/>
    <n v="71"/>
    <n v="37296"/>
    <n v="36467"/>
    <n v="25"/>
    <s v="TeslaCoInnovation"/>
    <m/>
    <m/>
    <x v="3"/>
    <n v="0"/>
    <n v="0"/>
    <n v="0"/>
  </r>
  <r>
    <s v="P134"/>
    <s v="Twitter"/>
    <d v="2025-04-24T00:00:00"/>
    <s v="Reel"/>
    <s v="Check out our latest reel on twitter!"/>
    <n v="3731"/>
    <n v="115"/>
    <n v="135"/>
    <n v="55965"/>
    <n v="55436"/>
    <n v="103"/>
    <s v="TeslaCoInnovation"/>
    <m/>
    <m/>
    <x v="0"/>
    <n v="0"/>
    <n v="0"/>
    <n v="0"/>
  </r>
  <r>
    <s v="P135"/>
    <s v="Facebook"/>
    <d v="2024-11-28T00:00:00"/>
    <s v="Text"/>
    <s v="Check out our latest text on facebook!"/>
    <n v="4213"/>
    <n v="253"/>
    <n v="434"/>
    <n v="75834"/>
    <n v="75437"/>
    <n v="272"/>
    <s v="FutureOfDriving"/>
    <m/>
    <m/>
    <x v="3"/>
    <n v="0"/>
    <n v="0"/>
    <n v="0"/>
  </r>
  <r>
    <s v="P136"/>
    <s v="Instagram"/>
    <d v="2024-07-11T00:00:00"/>
    <s v="Text"/>
    <s v="Check out our latest text on instagram!"/>
    <n v="3134"/>
    <n v="888"/>
    <n v="444"/>
    <n v="21938"/>
    <n v="21337"/>
    <n v="130"/>
    <s v="EVRevolution"/>
    <m/>
    <m/>
    <x v="3"/>
    <n v="150000"/>
    <n v="0"/>
    <n v="0"/>
  </r>
  <r>
    <s v="P137"/>
    <s v="Facebook"/>
    <d v="2024-07-31T00:00:00"/>
    <s v="Video"/>
    <s v="Check out our latest video on facebook!"/>
    <n v="3008"/>
    <n v="94"/>
    <n v="37"/>
    <n v="15040"/>
    <n v="14639"/>
    <n v="277"/>
    <s v="FutureOfDriving"/>
    <m/>
    <m/>
    <x v="4"/>
    <n v="0"/>
    <n v="0"/>
    <n v="0"/>
  </r>
  <r>
    <s v="P138"/>
    <s v="Twitter"/>
    <d v="2025-03-29T00:00:00"/>
    <s v="Image"/>
    <s v="Check out our latest image on twitter!"/>
    <n v="305"/>
    <n v="187"/>
    <n v="243"/>
    <n v="4575"/>
    <n v="3704"/>
    <n v="234"/>
    <s v="FutureOfDriving"/>
    <m/>
    <m/>
    <x v="2"/>
    <n v="0"/>
    <n v="0"/>
    <n v="0"/>
  </r>
  <r>
    <s v="P139"/>
    <s v="YouTube"/>
    <d v="2024-10-29T00:00:00"/>
    <s v="Text"/>
    <s v="Check out our latest text on youtube!"/>
    <n v="2746"/>
    <n v="156"/>
    <n v="203"/>
    <n v="32952"/>
    <n v="32147"/>
    <n v="147"/>
    <s v="EVRevolution"/>
    <m/>
    <m/>
    <x v="0"/>
    <n v="150000"/>
    <n v="0"/>
    <n v="0"/>
  </r>
  <r>
    <s v="P140"/>
    <s v="Facebook"/>
    <d v="2024-07-15T00:00:00"/>
    <s v="Image"/>
    <s v="Check out our latest image on facebook!"/>
    <n v="2291"/>
    <n v="78"/>
    <n v="485"/>
    <n v="18328"/>
    <n v="18101"/>
    <n v="10"/>
    <s v="EVRevolution"/>
    <s v="SmoothLikeNitroTesla"/>
    <m/>
    <x v="1"/>
    <n v="150000"/>
    <n v="250000"/>
    <n v="0"/>
  </r>
  <r>
    <s v="P141"/>
    <s v="Twitter"/>
    <d v="2024-08-31T00:00:00"/>
    <s v="Image"/>
    <s v="Check out our latest image on twitter!"/>
    <n v="3170"/>
    <n v="857"/>
    <n v="379"/>
    <n v="19020"/>
    <n v="18559"/>
    <n v="240"/>
    <s v="FutureOfDriving"/>
    <m/>
    <m/>
    <x v="4"/>
    <n v="0"/>
    <n v="0"/>
    <n v="0"/>
  </r>
  <r>
    <s v="P142"/>
    <s v="YouTube"/>
    <d v="2025-03-25T00:00:00"/>
    <s v="Story"/>
    <s v="Check out our latest story on youtube!"/>
    <n v="2070"/>
    <n v="275"/>
    <n v="386"/>
    <n v="39330"/>
    <n v="38627"/>
    <n v="114"/>
    <s v="FutureOfDriving"/>
    <m/>
    <m/>
    <x v="3"/>
    <n v="0"/>
    <n v="0"/>
    <n v="0"/>
  </r>
  <r>
    <s v="P143"/>
    <s v="YouTube"/>
    <d v="2024-10-02T00:00:00"/>
    <s v="Carousel"/>
    <s v="Check out our latest carousel on youtube!"/>
    <n v="80"/>
    <n v="362"/>
    <n v="80"/>
    <n v="1040"/>
    <n v="349"/>
    <n v="117"/>
    <s v="TeslaCoInnovation"/>
    <m/>
    <m/>
    <x v="2"/>
    <n v="0"/>
    <n v="0"/>
    <n v="0"/>
  </r>
  <r>
    <s v="P144"/>
    <s v="YouTube"/>
    <d v="2024-10-28T00:00:00"/>
    <s v="Story"/>
    <s v="Check out our latest story on youtube!"/>
    <n v="4929"/>
    <n v="749"/>
    <n v="452"/>
    <n v="93651"/>
    <n v="92810"/>
    <n v="66"/>
    <s v="EVRevolution"/>
    <m/>
    <m/>
    <x v="3"/>
    <n v="150000"/>
    <n v="0"/>
    <n v="0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TeslaCoInnovation"/>
    <m/>
    <m/>
    <x v="3"/>
    <n v="0"/>
    <n v="0"/>
    <n v="0"/>
  </r>
  <r>
    <s v="P146"/>
    <s v="YouTube"/>
    <d v="2024-06-05T00:00:00"/>
    <s v="Reel"/>
    <s v="Check out our latest reel on youtube!"/>
    <n v="3065"/>
    <n v="772"/>
    <n v="142"/>
    <n v="18390"/>
    <n v="17875"/>
    <n v="200"/>
    <s v="EVRevolution"/>
    <s v="AnytimeIsTeslaTime"/>
    <m/>
    <x v="4"/>
    <n v="150000"/>
    <n v="200000"/>
    <n v="0"/>
  </r>
  <r>
    <s v="P147"/>
    <s v="Instagram"/>
    <d v="2024-10-21T00:00:00"/>
    <s v="Reel"/>
    <s v="Check out our latest reel on instagram!"/>
    <n v="3256"/>
    <n v="459"/>
    <n v="266"/>
    <n v="26048"/>
    <n v="25529"/>
    <n v="143"/>
    <s v="TeslaCoInnovation"/>
    <m/>
    <m/>
    <x v="1"/>
    <n v="0"/>
    <n v="0"/>
    <n v="0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EVRevolution"/>
    <m/>
    <m/>
    <x v="3"/>
    <n v="150000"/>
    <n v="0"/>
    <n v="0"/>
  </r>
  <r>
    <s v="P149"/>
    <s v="Twitter"/>
    <d v="2024-06-16T00:00:00"/>
    <s v="Video"/>
    <s v="Check out our latest video on twitter!"/>
    <n v="1702"/>
    <n v="750"/>
    <n v="179"/>
    <n v="34040"/>
    <n v="33174"/>
    <n v="76"/>
    <s v="EVRevolution"/>
    <m/>
    <m/>
    <x v="0"/>
    <n v="150000"/>
    <n v="0"/>
    <n v="0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TeslaCoInnovation"/>
    <m/>
    <m/>
    <x v="3"/>
    <n v="0"/>
    <n v="0"/>
    <n v="0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EVRevolution"/>
    <m/>
    <m/>
    <x v="0"/>
    <n v="150000"/>
    <n v="0"/>
    <n v="0"/>
  </r>
  <r>
    <s v="P152"/>
    <s v="Facebook"/>
    <d v="2025-04-22T00:00:00"/>
    <s v="Image"/>
    <s v="Check out our latest image on facebook!"/>
    <n v="4804"/>
    <n v="550"/>
    <n v="270"/>
    <n v="28824"/>
    <n v="28370"/>
    <n v="47"/>
    <s v="EVRevolution"/>
    <m/>
    <m/>
    <x v="3"/>
    <n v="150000"/>
    <n v="0"/>
    <n v="0"/>
  </r>
  <r>
    <s v="P153"/>
    <s v="Twitter"/>
    <d v="2025-01-01T00:00:00"/>
    <s v="Video"/>
    <s v="Check out our latest video on twitter!"/>
    <n v="754"/>
    <n v="197"/>
    <n v="257"/>
    <n v="6786"/>
    <n v="6221"/>
    <n v="212"/>
    <s v="TeslaCoInnovation"/>
    <m/>
    <m/>
    <x v="2"/>
    <n v="0"/>
    <n v="0"/>
    <n v="0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FutureOfDriving"/>
    <m/>
    <m/>
    <x v="3"/>
    <n v="0"/>
    <n v="0"/>
    <n v="0"/>
  </r>
  <r>
    <s v="P155"/>
    <s v="YouTube"/>
    <d v="2024-12-21T00:00:00"/>
    <s v="Image"/>
    <s v="Check out our latest image on youtube!"/>
    <n v="2283"/>
    <n v="210"/>
    <n v="130"/>
    <n v="22830"/>
    <n v="22617"/>
    <n v="143"/>
    <s v="FutureOfDriving"/>
    <m/>
    <m/>
    <x v="1"/>
    <n v="0"/>
    <n v="0"/>
    <n v="0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FutureOfDriving"/>
    <m/>
    <m/>
    <x v="1"/>
    <n v="0"/>
    <n v="0"/>
    <n v="0"/>
  </r>
  <r>
    <s v="P157"/>
    <s v="YouTube"/>
    <d v="2024-07-23T00:00:00"/>
    <s v="Story"/>
    <s v="Check out our latest story on youtube!"/>
    <n v="4775"/>
    <n v="173"/>
    <n v="206"/>
    <n v="47750"/>
    <n v="47544"/>
    <n v="187"/>
    <s v="FutureOfDriving"/>
    <m/>
    <m/>
    <x v="1"/>
    <n v="0"/>
    <n v="0"/>
    <n v="0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TeslaCoInnovation"/>
    <m/>
    <m/>
    <x v="0"/>
    <n v="0"/>
    <n v="0"/>
    <n v="0"/>
  </r>
  <r>
    <s v="P159"/>
    <s v="Facebook"/>
    <d v="2024-11-25T00:00:00"/>
    <s v="Story"/>
    <s v="Check out our latest story on facebook!"/>
    <n v="2120"/>
    <n v="158"/>
    <n v="488"/>
    <n v="12720"/>
    <n v="12085"/>
    <n v="17"/>
    <s v="FutureOfDriving"/>
    <m/>
    <m/>
    <x v="1"/>
    <n v="0"/>
    <n v="0"/>
    <n v="0"/>
  </r>
  <r>
    <s v="P160"/>
    <s v="Twitter"/>
    <d v="2024-08-24T00:00:00"/>
    <s v="Video"/>
    <s v="Check out our latest video on twitter!"/>
    <n v="1082"/>
    <n v="209"/>
    <n v="484"/>
    <n v="19476"/>
    <n v="18654"/>
    <n v="20"/>
    <s v="TeslaCoInnovation"/>
    <m/>
    <m/>
    <x v="4"/>
    <n v="0"/>
    <n v="0"/>
    <n v="0"/>
  </r>
  <r>
    <s v="P161"/>
    <s v="Twitter"/>
    <d v="2025-02-19T00:00:00"/>
    <s v="Text"/>
    <s v="Check out our latest text on twitter!"/>
    <n v="4671"/>
    <n v="876"/>
    <n v="366"/>
    <n v="51381"/>
    <n v="50565"/>
    <n v="245"/>
    <s v="TeslaCoInnovation"/>
    <m/>
    <m/>
    <x v="3"/>
    <n v="0"/>
    <n v="0"/>
    <n v="0"/>
  </r>
  <r>
    <s v="P162"/>
    <s v="Facebook"/>
    <d v="2025-04-01T00:00:00"/>
    <s v="Story"/>
    <s v="Check out our latest story on facebook!"/>
    <n v="3430"/>
    <n v="566"/>
    <n v="164"/>
    <n v="48020"/>
    <n v="47305"/>
    <n v="120"/>
    <s v="FutureOfDriving"/>
    <m/>
    <m/>
    <x v="4"/>
    <n v="0"/>
    <n v="0"/>
    <n v="0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TeslaCoInnovation"/>
    <m/>
    <m/>
    <x v="1"/>
    <n v="0"/>
    <n v="0"/>
    <n v="0"/>
  </r>
  <r>
    <s v="P164"/>
    <s v="YouTube"/>
    <d v="2025-02-27T00:00:00"/>
    <s v="Text"/>
    <s v="Check out our latest text on youtube!"/>
    <n v="4934"/>
    <n v="971"/>
    <n v="156"/>
    <n v="39472"/>
    <n v="39025"/>
    <n v="169"/>
    <s v="TeslaCoInnovation"/>
    <s v="AnytimeIsTeslaTime"/>
    <m/>
    <x v="3"/>
    <n v="0"/>
    <n v="200000"/>
    <n v="0"/>
  </r>
  <r>
    <s v="P165"/>
    <s v="Twitter"/>
    <d v="2024-12-11T00:00:00"/>
    <s v="Text"/>
    <s v="Check out our latest text on twitter!"/>
    <n v="3239"/>
    <n v="43"/>
    <n v="211"/>
    <n v="22673"/>
    <n v="22171"/>
    <n v="230"/>
    <s v="TeslaCoInnovation"/>
    <m/>
    <m/>
    <x v="1"/>
    <n v="0"/>
    <n v="0"/>
    <n v="0"/>
  </r>
  <r>
    <s v="P166"/>
    <s v="Twitter"/>
    <d v="2025-02-16T00:00:00"/>
    <s v="Reel"/>
    <s v="Check out our latest reel on twitter!"/>
    <n v="1076"/>
    <n v="313"/>
    <n v="306"/>
    <n v="11836"/>
    <n v="11596"/>
    <n v="104"/>
    <s v="FutureOfDriving"/>
    <m/>
    <m/>
    <x v="0"/>
    <n v="0"/>
    <n v="0"/>
    <n v="0"/>
  </r>
  <r>
    <s v="P167"/>
    <s v="Instagram"/>
    <d v="2024-11-28T00:00:00"/>
    <s v="Text"/>
    <s v="Check out our latest text on instagram!"/>
    <n v="4771"/>
    <n v="818"/>
    <n v="56"/>
    <n v="57252"/>
    <n v="56378"/>
    <n v="150"/>
    <s v="FutureOfDriving"/>
    <m/>
    <m/>
    <x v="4"/>
    <n v="0"/>
    <n v="0"/>
    <n v="0"/>
  </r>
  <r>
    <s v="P168"/>
    <s v="Facebook"/>
    <d v="2024-11-12T00:00:00"/>
    <s v="Text"/>
    <s v="Check out our latest text on facebook!"/>
    <n v="2418"/>
    <n v="754"/>
    <n v="54"/>
    <n v="43524"/>
    <n v="42743"/>
    <n v="182"/>
    <s v="EVRevolution"/>
    <m/>
    <m/>
    <x v="0"/>
    <n v="150000"/>
    <n v="0"/>
    <n v="0"/>
  </r>
  <r>
    <s v="P169"/>
    <s v="YouTube"/>
    <d v="2024-12-03T00:00:00"/>
    <s v="Video"/>
    <s v="Check out our latest video on youtube!"/>
    <n v="3809"/>
    <n v="273"/>
    <n v="200"/>
    <n v="34281"/>
    <n v="33534"/>
    <n v="83"/>
    <s v="EVRevolution"/>
    <m/>
    <m/>
    <x v="0"/>
    <n v="150000"/>
    <n v="0"/>
    <n v="0"/>
  </r>
  <r>
    <s v="P170"/>
    <s v="Twitter"/>
    <d v="2025-04-28T00:00:00"/>
    <s v="Text"/>
    <s v="Check out our latest text on twitter!"/>
    <n v="3577"/>
    <n v="596"/>
    <n v="493"/>
    <n v="67963"/>
    <n v="67839"/>
    <n v="53"/>
    <s v="TeslaCoInnovation"/>
    <m/>
    <m/>
    <x v="2"/>
    <n v="0"/>
    <n v="0"/>
    <n v="0"/>
  </r>
  <r>
    <s v="P171"/>
    <s v="YouTube"/>
    <d v="2024-12-31T00:00:00"/>
    <s v="Video"/>
    <s v="Check out our latest video on youtube!"/>
    <n v="1018"/>
    <n v="447"/>
    <n v="332"/>
    <n v="18324"/>
    <n v="18164"/>
    <n v="38"/>
    <s v="FutureOfDriving"/>
    <m/>
    <m/>
    <x v="1"/>
    <n v="0"/>
    <n v="0"/>
    <n v="0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EVRevolution"/>
    <m/>
    <m/>
    <x v="2"/>
    <n v="150000"/>
    <n v="0"/>
    <n v="0"/>
  </r>
  <r>
    <s v="P173"/>
    <s v="Twitter"/>
    <d v="2024-12-05T00:00:00"/>
    <s v="Video"/>
    <s v="Check out our latest video on twitter!"/>
    <n v="1330"/>
    <n v="925"/>
    <n v="35"/>
    <n v="15960"/>
    <n v="15379"/>
    <n v="229"/>
    <s v="FutureOfDriving"/>
    <m/>
    <m/>
    <x v="2"/>
    <n v="0"/>
    <n v="0"/>
    <n v="0"/>
  </r>
  <r>
    <s v="P174"/>
    <s v="Facebook"/>
    <d v="2024-06-22T00:00:00"/>
    <s v="Text"/>
    <s v="Check out our latest text on facebook!"/>
    <n v="3828"/>
    <n v="148"/>
    <n v="253"/>
    <n v="30624"/>
    <n v="30229"/>
    <n v="235"/>
    <s v="EVRevolution"/>
    <m/>
    <m/>
    <x v="4"/>
    <n v="150000"/>
    <n v="0"/>
    <n v="0"/>
  </r>
  <r>
    <s v="P175"/>
    <s v="Instagram"/>
    <d v="2025-01-17T00:00:00"/>
    <s v="Reel"/>
    <s v="Check out our latest reel on instagram!"/>
    <n v="142"/>
    <n v="784"/>
    <n v="183"/>
    <n v="1704"/>
    <n v="995"/>
    <n v="154"/>
    <s v="FutureOfDriving"/>
    <m/>
    <m/>
    <x v="3"/>
    <n v="0"/>
    <n v="0"/>
    <n v="0"/>
  </r>
  <r>
    <s v="P176"/>
    <s v="Facebook"/>
    <d v="2024-06-20T00:00:00"/>
    <s v="Video"/>
    <s v="Check out our latest video on facebook!"/>
    <n v="3798"/>
    <n v="31"/>
    <n v="279"/>
    <n v="75960"/>
    <n v="75813"/>
    <n v="266"/>
    <s v="TeslaCoInnovation"/>
    <m/>
    <m/>
    <x v="0"/>
    <n v="0"/>
    <n v="0"/>
    <n v="0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TeslaCoInnovation"/>
    <m/>
    <m/>
    <x v="2"/>
    <n v="0"/>
    <n v="0"/>
    <n v="0"/>
  </r>
  <r>
    <s v="P178"/>
    <s v="Instagram"/>
    <d v="2024-11-07T00:00:00"/>
    <s v="Video"/>
    <s v="Check out our latest video on instagram!"/>
    <n v="129"/>
    <n v="643"/>
    <n v="136"/>
    <n v="1290"/>
    <n v="839"/>
    <n v="238"/>
    <s v="TeslaCoInnovation"/>
    <m/>
    <m/>
    <x v="3"/>
    <n v="0"/>
    <n v="0"/>
    <n v="0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TeslaCoInnovation"/>
    <m/>
    <m/>
    <x v="4"/>
    <n v="0"/>
    <n v="0"/>
    <n v="0"/>
  </r>
  <r>
    <s v="P180"/>
    <s v="YouTube"/>
    <d v="2024-12-03T00:00:00"/>
    <s v="Text"/>
    <s v="Check out our latest text on youtube!"/>
    <n v="3711"/>
    <n v="352"/>
    <n v="290"/>
    <n v="48243"/>
    <n v="47579"/>
    <n v="11"/>
    <s v="TeslaCoInnovation"/>
    <m/>
    <m/>
    <x v="0"/>
    <n v="0"/>
    <n v="0"/>
    <n v="0"/>
  </r>
  <r>
    <s v="P181"/>
    <s v="YouTube"/>
    <d v="2025-03-21T00:00:00"/>
    <s v="Image"/>
    <s v="Check out our latest image on youtube!"/>
    <n v="606"/>
    <n v="789"/>
    <n v="470"/>
    <n v="7878"/>
    <n v="7389"/>
    <n v="239"/>
    <s v="EVRevolution"/>
    <m/>
    <m/>
    <x v="2"/>
    <n v="150000"/>
    <n v="0"/>
    <n v="0"/>
  </r>
  <r>
    <s v="P182"/>
    <s v="Facebook"/>
    <d v="2024-07-31T00:00:00"/>
    <s v="Image"/>
    <s v="Check out our latest image on facebook!"/>
    <n v="4689"/>
    <n v="134"/>
    <n v="403"/>
    <n v="51579"/>
    <n v="50924"/>
    <n v="173"/>
    <s v="TeslaCoInnovation"/>
    <m/>
    <m/>
    <x v="3"/>
    <n v="0"/>
    <n v="0"/>
    <n v="0"/>
  </r>
  <r>
    <s v="P183"/>
    <s v="Instagram"/>
    <d v="2024-12-17T00:00:00"/>
    <s v="Story"/>
    <s v="Check out our latest story on instagram!"/>
    <n v="360"/>
    <n v="590"/>
    <n v="393"/>
    <n v="4680"/>
    <n v="4322"/>
    <n v="208"/>
    <s v="FutureOfDriving"/>
    <m/>
    <m/>
    <x v="1"/>
    <n v="0"/>
    <n v="0"/>
    <n v="0"/>
  </r>
  <r>
    <s v="P184"/>
    <s v="Twitter"/>
    <d v="2024-07-28T00:00:00"/>
    <s v="Image"/>
    <s v="Check out our latest image on twitter!"/>
    <n v="3215"/>
    <n v="960"/>
    <n v="202"/>
    <n v="32150"/>
    <n v="31404"/>
    <n v="251"/>
    <s v="EVRevolution"/>
    <m/>
    <m/>
    <x v="0"/>
    <n v="150000"/>
    <n v="0"/>
    <n v="0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EVRevolution"/>
    <m/>
    <m/>
    <x v="4"/>
    <n v="150000"/>
    <n v="0"/>
    <n v="0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EVRevolution"/>
    <m/>
    <m/>
    <x v="2"/>
    <n v="150000"/>
    <n v="0"/>
    <n v="0"/>
  </r>
  <r>
    <s v="P187"/>
    <s v="Twitter"/>
    <d v="2024-12-22T00:00:00"/>
    <s v="Reel"/>
    <s v="Check out our latest reel on twitter!"/>
    <n v="1644"/>
    <n v="546"/>
    <n v="150"/>
    <n v="27948"/>
    <n v="27184"/>
    <n v="300"/>
    <s v="EVRevolution"/>
    <m/>
    <m/>
    <x v="2"/>
    <n v="150000"/>
    <n v="0"/>
    <n v="0"/>
  </r>
  <r>
    <s v="P188"/>
    <s v="YouTube"/>
    <d v="2024-06-06T00:00:00"/>
    <s v="Reel"/>
    <s v="Check out our latest reel on youtube!"/>
    <n v="2728"/>
    <n v="533"/>
    <n v="215"/>
    <n v="40920"/>
    <n v="40816"/>
    <n v="137"/>
    <s v="FutureOfDriving"/>
    <m/>
    <m/>
    <x v="1"/>
    <n v="0"/>
    <n v="0"/>
    <n v="0"/>
  </r>
  <r>
    <s v="P189"/>
    <s v="Facebook"/>
    <d v="2025-03-24T00:00:00"/>
    <s v="Reel"/>
    <s v="Check out our latest reel on facebook!"/>
    <n v="3360"/>
    <n v="525"/>
    <n v="500"/>
    <n v="60480"/>
    <n v="59610"/>
    <n v="192"/>
    <s v="TeslaCoInnovation"/>
    <m/>
    <m/>
    <x v="0"/>
    <n v="0"/>
    <n v="0"/>
    <n v="0"/>
  </r>
  <r>
    <s v="P190"/>
    <s v="YouTube"/>
    <d v="2024-10-04T00:00:00"/>
    <s v="Text"/>
    <s v="Check out our latest text on youtube!"/>
    <n v="1963"/>
    <n v="213"/>
    <n v="19"/>
    <n v="39260"/>
    <n v="38771"/>
    <n v="145"/>
    <s v="FutureOfDriving"/>
    <m/>
    <m/>
    <x v="4"/>
    <n v="0"/>
    <n v="0"/>
    <n v="0"/>
  </r>
  <r>
    <s v="P191"/>
    <s v="YouTube"/>
    <d v="2024-12-03T00:00:00"/>
    <s v="Story"/>
    <s v="Check out our latest story on youtube!"/>
    <n v="4285"/>
    <n v="886"/>
    <n v="376"/>
    <n v="55705"/>
    <n v="55556"/>
    <n v="51"/>
    <s v="FutureOfDriving"/>
    <m/>
    <m/>
    <x v="2"/>
    <n v="0"/>
    <n v="0"/>
    <n v="0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EVRevolution"/>
    <m/>
    <m/>
    <x v="4"/>
    <n v="150000"/>
    <n v="0"/>
    <n v="0"/>
  </r>
  <r>
    <s v="P193"/>
    <s v="Twitter"/>
    <d v="2024-09-11T00:00:00"/>
    <s v="Image"/>
    <s v="Check out our latest image on twitter!"/>
    <n v="4858"/>
    <n v="317"/>
    <n v="129"/>
    <n v="53438"/>
    <n v="52687"/>
    <n v="223"/>
    <s v="EVRevolution"/>
    <m/>
    <m/>
    <x v="2"/>
    <n v="150000"/>
    <n v="0"/>
    <n v="0"/>
  </r>
  <r>
    <s v="P194"/>
    <s v="YouTube"/>
    <d v="2024-10-02T00:00:00"/>
    <s v="Story"/>
    <s v="Check out our latest story on youtube!"/>
    <n v="4350"/>
    <n v="771"/>
    <n v="7"/>
    <n v="60900"/>
    <n v="60592"/>
    <n v="195"/>
    <s v="EVRevolution"/>
    <m/>
    <m/>
    <x v="0"/>
    <n v="150000"/>
    <n v="0"/>
    <n v="0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FutureOfDriving"/>
    <s v="TeslaCoInnovation"/>
    <s v="AnytimeIsTeslaTime"/>
    <x v="3"/>
    <n v="0"/>
    <n v="0"/>
    <n v="200000"/>
  </r>
  <r>
    <s v="P196"/>
    <s v="Instagram"/>
    <d v="2024-12-19T00:00:00"/>
    <s v="Text"/>
    <s v="Check out our latest text on instagram!"/>
    <n v="1813"/>
    <n v="623"/>
    <n v="72"/>
    <n v="19943"/>
    <n v="18959"/>
    <n v="85"/>
    <s v="EVRevolution"/>
    <m/>
    <m/>
    <x v="2"/>
    <n v="150000"/>
    <n v="0"/>
    <n v="0"/>
  </r>
  <r>
    <s v="P197"/>
    <s v="Twitter"/>
    <d v="2024-10-22T00:00:00"/>
    <s v="Reel"/>
    <s v="Check out our latest reel on twitter!"/>
    <n v="4782"/>
    <n v="721"/>
    <n v="82"/>
    <n v="86076"/>
    <n v="85339"/>
    <n v="19"/>
    <s v="EVRevolution"/>
    <m/>
    <m/>
    <x v="0"/>
    <n v="150000"/>
    <n v="0"/>
    <n v="0"/>
  </r>
  <r>
    <s v="P198"/>
    <s v="Twitter"/>
    <d v="2024-09-14T00:00:00"/>
    <s v="Image"/>
    <s v="Check out our latest image on twitter!"/>
    <n v="1048"/>
    <n v="374"/>
    <n v="450"/>
    <n v="9432"/>
    <n v="8882"/>
    <n v="158"/>
    <s v="TeslaCoInnovation"/>
    <m/>
    <m/>
    <x v="2"/>
    <n v="0"/>
    <n v="0"/>
    <n v="0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TeslaCoInnovation"/>
    <m/>
    <m/>
    <x v="1"/>
    <n v="0"/>
    <n v="0"/>
    <n v="0"/>
  </r>
  <r>
    <s v="P200"/>
    <s v="Facebook"/>
    <d v="2025-04-07T00:00:00"/>
    <s v="Reel"/>
    <s v="Check out our latest reel on facebook!"/>
    <n v="3718"/>
    <n v="385"/>
    <n v="310"/>
    <n v="70642"/>
    <n v="69749"/>
    <n v="233"/>
    <s v="TeslaCoInnovation"/>
    <m/>
    <m/>
    <x v="1"/>
    <n v="0"/>
    <n v="0"/>
    <n v="0"/>
  </r>
  <r>
    <s v="P201"/>
    <s v="Twitter"/>
    <d v="2025-01-15T00:00:00"/>
    <s v="Reel"/>
    <s v="Check out our latest reel on twitter!"/>
    <n v="802"/>
    <n v="262"/>
    <n v="244"/>
    <n v="14436"/>
    <n v="14280"/>
    <n v="49"/>
    <s v="EVRevolution"/>
    <m/>
    <m/>
    <x v="0"/>
    <n v="150000"/>
    <n v="0"/>
    <n v="0"/>
  </r>
  <r>
    <s v="P202"/>
    <s v="Facebook"/>
    <d v="2024-06-02T00:00:00"/>
    <s v="Image"/>
    <s v="Check out our latest image on facebook!"/>
    <n v="1871"/>
    <n v="252"/>
    <n v="335"/>
    <n v="29936"/>
    <n v="29576"/>
    <n v="288"/>
    <s v="EVRevolution"/>
    <m/>
    <m/>
    <x v="2"/>
    <n v="150000"/>
    <n v="0"/>
    <n v="0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FutureOfDriving"/>
    <m/>
    <m/>
    <x v="0"/>
    <n v="0"/>
    <n v="0"/>
    <n v="0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FutureOfDriving"/>
    <m/>
    <m/>
    <x v="2"/>
    <n v="0"/>
    <n v="0"/>
    <n v="0"/>
  </r>
  <r>
    <s v="P205"/>
    <s v="Twitter"/>
    <d v="2025-04-24T00:00:00"/>
    <s v="Video"/>
    <s v="Check out our latest video on twitter!"/>
    <n v="3820"/>
    <n v="697"/>
    <n v="268"/>
    <n v="45840"/>
    <n v="45631"/>
    <n v="171"/>
    <s v="TeslaCoInnovation"/>
    <s v="SmoothLikeNitroTesla"/>
    <m/>
    <x v="3"/>
    <n v="0"/>
    <n v="250000"/>
    <n v="0"/>
  </r>
  <r>
    <s v="P206"/>
    <s v="Twitter"/>
    <d v="2024-06-24T00:00:00"/>
    <s v="Text"/>
    <s v="Check out our latest text on twitter!"/>
    <n v="941"/>
    <n v="121"/>
    <n v="458"/>
    <n v="14115"/>
    <n v="13838"/>
    <n v="87"/>
    <s v="EVRevolution"/>
    <m/>
    <m/>
    <x v="0"/>
    <n v="150000"/>
    <n v="0"/>
    <n v="0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TeslaCoInnovation"/>
    <s v="SmoothLikeNitroTesla"/>
    <m/>
    <x v="2"/>
    <n v="0"/>
    <n v="250000"/>
    <n v="0"/>
  </r>
  <r>
    <s v="P208"/>
    <s v="YouTube"/>
    <d v="2024-06-24T00:00:00"/>
    <s v="Video"/>
    <s v="Check out our latest video on youtube!"/>
    <n v="2949"/>
    <n v="476"/>
    <n v="403"/>
    <n v="44235"/>
    <n v="43705"/>
    <n v="135"/>
    <s v="TeslaCoInnovation"/>
    <m/>
    <m/>
    <x v="1"/>
    <n v="0"/>
    <n v="0"/>
    <n v="0"/>
  </r>
  <r>
    <s v="P209"/>
    <s v="Twitter"/>
    <d v="2025-03-19T00:00:00"/>
    <s v="Video"/>
    <s v="Check out our latest video on twitter!"/>
    <n v="3160"/>
    <n v="204"/>
    <n v="297"/>
    <n v="44240"/>
    <n v="43666"/>
    <n v="49"/>
    <s v="FutureOfDriving"/>
    <s v="AnytimeIsTeslaTime"/>
    <m/>
    <x v="3"/>
    <n v="0"/>
    <n v="200000"/>
    <n v="0"/>
  </r>
  <r>
    <s v="P210"/>
    <s v="YouTube"/>
    <d v="2025-02-19T00:00:00"/>
    <s v="Image"/>
    <s v="Check out our latest image on youtube!"/>
    <n v="257"/>
    <n v="966"/>
    <n v="398"/>
    <n v="3341"/>
    <n v="2753"/>
    <n v="287"/>
    <s v="FutureOfDriving"/>
    <m/>
    <m/>
    <x v="0"/>
    <n v="0"/>
    <n v="0"/>
    <n v="0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FutureOfDriving"/>
    <m/>
    <m/>
    <x v="3"/>
    <n v="0"/>
    <n v="0"/>
    <n v="0"/>
  </r>
  <r>
    <s v="P212"/>
    <s v="YouTube"/>
    <d v="2025-03-03T00:00:00"/>
    <s v="Video"/>
    <s v="Check out our latest video on youtube!"/>
    <n v="3874"/>
    <n v="884"/>
    <n v="19"/>
    <n v="38740"/>
    <n v="38552"/>
    <n v="219"/>
    <s v="TeslaCoInnovation"/>
    <m/>
    <m/>
    <x v="1"/>
    <n v="0"/>
    <n v="0"/>
    <n v="0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EVRevolution"/>
    <m/>
    <m/>
    <x v="3"/>
    <n v="150000"/>
    <n v="0"/>
    <n v="0"/>
  </r>
  <r>
    <s v="P214"/>
    <s v="Instagram"/>
    <d v="2024-12-23T00:00:00"/>
    <s v="Image"/>
    <s v="Check out our latest image on instagram!"/>
    <n v="521"/>
    <n v="746"/>
    <n v="315"/>
    <n v="4168"/>
    <n v="3399"/>
    <n v="282"/>
    <s v="FutureOfDriving"/>
    <m/>
    <m/>
    <x v="1"/>
    <n v="0"/>
    <n v="0"/>
    <n v="0"/>
  </r>
  <r>
    <s v="P215"/>
    <s v="Facebook"/>
    <d v="2025-05-06T00:00:00"/>
    <s v="Image"/>
    <s v="Check out our latest image on facebook!"/>
    <n v="4872"/>
    <n v="925"/>
    <n v="176"/>
    <n v="82824"/>
    <n v="82543"/>
    <n v="89"/>
    <s v="EVRevolution"/>
    <m/>
    <m/>
    <x v="1"/>
    <n v="150000"/>
    <n v="0"/>
    <n v="0"/>
  </r>
  <r>
    <s v="P216"/>
    <s v="YouTube"/>
    <d v="2024-07-29T00:00:00"/>
    <s v="Story"/>
    <s v="Check out our latest story on youtube!"/>
    <n v="1509"/>
    <n v="88"/>
    <n v="163"/>
    <n v="30180"/>
    <n v="29689"/>
    <n v="119"/>
    <s v="EVRevolution"/>
    <m/>
    <m/>
    <x v="1"/>
    <n v="150000"/>
    <n v="0"/>
    <n v="0"/>
  </r>
  <r>
    <s v="P217"/>
    <s v="Facebook"/>
    <d v="2024-12-03T00:00:00"/>
    <s v="Image"/>
    <s v="Check out our latest image on facebook!"/>
    <n v="4606"/>
    <n v="931"/>
    <n v="230"/>
    <n v="92120"/>
    <n v="91440"/>
    <n v="56"/>
    <s v="TeslaCoInnovation"/>
    <m/>
    <m/>
    <x v="4"/>
    <n v="0"/>
    <n v="0"/>
    <n v="0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TeslaCoInnovation"/>
    <m/>
    <m/>
    <x v="3"/>
    <n v="0"/>
    <n v="0"/>
    <n v="0"/>
  </r>
  <r>
    <s v="P219"/>
    <s v="Twitter"/>
    <d v="2025-01-28T00:00:00"/>
    <s v="Reel"/>
    <s v="Check out our latest reel on twitter!"/>
    <n v="1188"/>
    <n v="470"/>
    <n v="174"/>
    <n v="7128"/>
    <n v="6145"/>
    <n v="270"/>
    <s v="TeslaCoInnovation"/>
    <m/>
    <m/>
    <x v="3"/>
    <n v="0"/>
    <n v="0"/>
    <n v="0"/>
  </r>
  <r>
    <s v="P220"/>
    <s v="Instagram"/>
    <d v="2024-06-02T00:00:00"/>
    <s v="Story"/>
    <s v="Check out our latest story on instagram!"/>
    <n v="84"/>
    <n v="897"/>
    <n v="85"/>
    <n v="588"/>
    <n v="8"/>
    <n v="12"/>
    <s v="EVRevolution"/>
    <m/>
    <m/>
    <x v="4"/>
    <n v="150000"/>
    <n v="0"/>
    <n v="0"/>
  </r>
  <r>
    <s v="P221"/>
    <s v="Facebook"/>
    <d v="2025-03-23T00:00:00"/>
    <s v="Video"/>
    <s v="Check out our latest video on facebook!"/>
    <n v="4453"/>
    <n v="111"/>
    <n v="420"/>
    <n v="31171"/>
    <n v="30565"/>
    <n v="23"/>
    <s v="TeslaCoInnovation"/>
    <m/>
    <m/>
    <x v="4"/>
    <n v="0"/>
    <n v="0"/>
    <n v="0"/>
  </r>
  <r>
    <s v="P222"/>
    <s v="Facebook"/>
    <d v="2024-10-08T00:00:00"/>
    <s v="Reel"/>
    <s v="Check out our latest reel on facebook!"/>
    <n v="1814"/>
    <n v="653"/>
    <n v="363"/>
    <n v="25396"/>
    <n v="25286"/>
    <n v="39"/>
    <s v="FutureOfDriving"/>
    <s v="SmoothLikeNitroTesla"/>
    <m/>
    <x v="0"/>
    <n v="0"/>
    <n v="250000"/>
    <n v="0"/>
  </r>
  <r>
    <s v="P223"/>
    <s v="Twitter"/>
    <d v="2024-11-12T00:00:00"/>
    <s v="Image"/>
    <s v="Check out our latest image on twitter!"/>
    <n v="3338"/>
    <n v="277"/>
    <n v="118"/>
    <n v="60084"/>
    <n v="59842"/>
    <n v="252"/>
    <s v="TeslaCoInnovation"/>
    <m/>
    <m/>
    <x v="4"/>
    <n v="0"/>
    <n v="0"/>
    <n v="0"/>
  </r>
  <r>
    <s v="P224"/>
    <s v="Facebook"/>
    <d v="2025-05-13T00:00:00"/>
    <s v="Image"/>
    <s v="Check out our latest image on facebook!"/>
    <n v="602"/>
    <n v="594"/>
    <n v="156"/>
    <n v="4214"/>
    <n v="3363"/>
    <n v="164"/>
    <s v="TeslaCoInnovation"/>
    <m/>
    <m/>
    <x v="2"/>
    <n v="0"/>
    <n v="0"/>
    <n v="0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EVRevolution"/>
    <m/>
    <m/>
    <x v="4"/>
    <n v="150000"/>
    <n v="0"/>
    <n v="0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TeslaCoInnovation"/>
    <m/>
    <m/>
    <x v="4"/>
    <n v="0"/>
    <n v="0"/>
    <n v="0"/>
  </r>
  <r>
    <s v="P227"/>
    <s v="Instagram"/>
    <d v="2024-06-12T00:00:00"/>
    <s v="Text"/>
    <s v="Check out our latest text on instagram!"/>
    <n v="246"/>
    <n v="149"/>
    <n v="130"/>
    <n v="4674"/>
    <n v="4390"/>
    <n v="217"/>
    <s v="FutureOfDriving"/>
    <m/>
    <m/>
    <x v="2"/>
    <n v="0"/>
    <n v="0"/>
    <n v="0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EVRevolution"/>
    <m/>
    <m/>
    <x v="0"/>
    <n v="150000"/>
    <n v="0"/>
    <n v="0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TeslaCoInnovation"/>
    <m/>
    <m/>
    <x v="4"/>
    <n v="0"/>
    <n v="0"/>
    <n v="0"/>
  </r>
  <r>
    <s v="P230"/>
    <s v="Facebook"/>
    <d v="2024-07-15T00:00:00"/>
    <s v="Reel"/>
    <s v="Check out our latest reel on facebook!"/>
    <n v="3663"/>
    <n v="17"/>
    <n v="295"/>
    <n v="51282"/>
    <n v="50567"/>
    <n v="84"/>
    <s v="EVRevolution"/>
    <m/>
    <m/>
    <x v="2"/>
    <n v="150000"/>
    <n v="0"/>
    <n v="0"/>
  </r>
  <r>
    <s v="P231"/>
    <s v="Instagram"/>
    <d v="2025-05-01T00:00:00"/>
    <s v="Text"/>
    <s v="Check out our latest text on instagram!"/>
    <n v="1430"/>
    <n v="376"/>
    <n v="33"/>
    <n v="21450"/>
    <n v="20509"/>
    <n v="251"/>
    <s v="FutureOfDriving"/>
    <m/>
    <m/>
    <x v="0"/>
    <n v="0"/>
    <n v="0"/>
    <n v="0"/>
  </r>
  <r>
    <s v="P232"/>
    <s v="Twitter"/>
    <d v="2025-04-29T00:00:00"/>
    <s v="Story"/>
    <s v="Check out our latest story on twitter!"/>
    <n v="249"/>
    <n v="592"/>
    <n v="230"/>
    <n v="1494"/>
    <n v="1044"/>
    <n v="201"/>
    <s v="EVRevolution"/>
    <m/>
    <m/>
    <x v="3"/>
    <n v="150000"/>
    <n v="0"/>
    <n v="0"/>
  </r>
  <r>
    <s v="P233"/>
    <s v="Facebook"/>
    <d v="2025-03-08T00:00:00"/>
    <s v="Image"/>
    <s v="Check out our latest image on facebook!"/>
    <n v="2382"/>
    <n v="265"/>
    <n v="134"/>
    <n v="38112"/>
    <n v="37437"/>
    <n v="249"/>
    <s v="FutureOfDriving"/>
    <m/>
    <m/>
    <x v="3"/>
    <n v="0"/>
    <n v="0"/>
    <n v="0"/>
  </r>
  <r>
    <s v="P234"/>
    <s v="Facebook"/>
    <d v="2024-06-01T00:00:00"/>
    <s v="Text"/>
    <s v="Check out our latest text on facebook!"/>
    <n v="1272"/>
    <n v="465"/>
    <n v="99"/>
    <n v="24168"/>
    <n v="23719"/>
    <n v="42"/>
    <s v="TeslaCoInnovation"/>
    <m/>
    <m/>
    <x v="4"/>
    <n v="0"/>
    <n v="0"/>
    <n v="0"/>
  </r>
  <r>
    <s v="P235"/>
    <s v="Facebook"/>
    <d v="2024-12-22T00:00:00"/>
    <s v="Image"/>
    <s v="Check out our latest image on facebook!"/>
    <n v="3196"/>
    <n v="941"/>
    <n v="376"/>
    <n v="35156"/>
    <n v="34444"/>
    <n v="241"/>
    <s v="TeslaCoInnovation"/>
    <m/>
    <m/>
    <x v="2"/>
    <n v="0"/>
    <n v="0"/>
    <n v="0"/>
  </r>
  <r>
    <s v="P236"/>
    <s v="Facebook"/>
    <d v="2024-08-19T00:00:00"/>
    <s v="Text"/>
    <s v="Check out our latest text on facebook!"/>
    <n v="1257"/>
    <n v="19"/>
    <n v="351"/>
    <n v="12570"/>
    <n v="11660"/>
    <n v="194"/>
    <s v="FutureOfDriving"/>
    <s v="AnytimeIsTeslaTime"/>
    <s v="EVRevolution"/>
    <x v="1"/>
    <n v="0"/>
    <n v="200000"/>
    <n v="150000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FutureOfDriving"/>
    <m/>
    <m/>
    <x v="0"/>
    <n v="0"/>
    <n v="0"/>
    <n v="0"/>
  </r>
  <r>
    <s v="P238"/>
    <s v="Twitter"/>
    <d v="2024-07-16T00:00:00"/>
    <s v="Text"/>
    <s v="Check out our latest text on twitter!"/>
    <n v="4725"/>
    <n v="400"/>
    <n v="362"/>
    <n v="75600"/>
    <n v="74927"/>
    <n v="43"/>
    <s v="FutureOfDriving"/>
    <m/>
    <m/>
    <x v="3"/>
    <n v="0"/>
    <n v="0"/>
    <n v="0"/>
  </r>
  <r>
    <s v="P239"/>
    <s v="YouTube"/>
    <d v="2025-02-24T00:00:00"/>
    <s v="Text"/>
    <s v="Check out our latest text on youtube!"/>
    <n v="4188"/>
    <n v="942"/>
    <n v="118"/>
    <n v="20940"/>
    <n v="20471"/>
    <n v="102"/>
    <s v="FutureOfDriving"/>
    <m/>
    <m/>
    <x v="4"/>
    <n v="0"/>
    <n v="0"/>
    <n v="0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EVRevolution"/>
    <s v="TeslaCoInnovation"/>
    <s v="AnytimeIsTeslaTime"/>
    <x v="2"/>
    <n v="150000"/>
    <n v="0"/>
    <n v="200000"/>
  </r>
  <r>
    <s v="P241"/>
    <s v="Facebook"/>
    <d v="2025-01-18T00:00:00"/>
    <s v="Story"/>
    <s v="Check out our latest story on facebook!"/>
    <n v="4321"/>
    <n v="874"/>
    <n v="172"/>
    <n v="30247"/>
    <n v="29254"/>
    <n v="122"/>
    <s v="TeslaCoInnovation"/>
    <m/>
    <m/>
    <x v="3"/>
    <n v="0"/>
    <n v="0"/>
    <n v="0"/>
  </r>
  <r>
    <s v="P242"/>
    <s v="Facebook"/>
    <d v="2024-07-07T00:00:00"/>
    <s v="Reel"/>
    <s v="Check out our latest reel on facebook!"/>
    <n v="4767"/>
    <n v="190"/>
    <n v="340"/>
    <n v="28602"/>
    <n v="28044"/>
    <n v="210"/>
    <s v="EVRevolution"/>
    <m/>
    <m/>
    <x v="2"/>
    <n v="150000"/>
    <n v="0"/>
    <n v="0"/>
  </r>
  <r>
    <s v="P243"/>
    <s v="Twitter"/>
    <d v="2025-03-06T00:00:00"/>
    <s v="Image"/>
    <s v="Check out our latest image on twitter!"/>
    <n v="3592"/>
    <n v="911"/>
    <n v="375"/>
    <n v="50288"/>
    <n v="49490"/>
    <n v="32"/>
    <s v="FutureOfDriving"/>
    <m/>
    <m/>
    <x v="3"/>
    <n v="0"/>
    <n v="0"/>
    <n v="0"/>
  </r>
  <r>
    <s v="P244"/>
    <s v="YouTube"/>
    <d v="2024-10-25T00:00:00"/>
    <s v="Video"/>
    <s v="Check out our latest video on youtube!"/>
    <n v="4661"/>
    <n v="935"/>
    <n v="433"/>
    <n v="23305"/>
    <n v="22583"/>
    <n v="63"/>
    <s v="FutureOfDriving"/>
    <m/>
    <m/>
    <x v="2"/>
    <n v="0"/>
    <n v="0"/>
    <n v="0"/>
  </r>
  <r>
    <s v="P245"/>
    <s v="Facebook"/>
    <d v="2025-01-12T00:00:00"/>
    <s v="Reel"/>
    <s v="Check out our latest reel on facebook!"/>
    <n v="4134"/>
    <n v="824"/>
    <n v="99"/>
    <n v="41340"/>
    <n v="41050"/>
    <n v="177"/>
    <s v="EVRevolution"/>
    <m/>
    <m/>
    <x v="0"/>
    <n v="150000"/>
    <n v="0"/>
    <n v="0"/>
  </r>
  <r>
    <s v="P246"/>
    <s v="Facebook"/>
    <d v="2024-10-11T00:00:00"/>
    <s v="Image"/>
    <s v="Check out our latest image on facebook!"/>
    <n v="400"/>
    <n v="680"/>
    <n v="434"/>
    <n v="6400"/>
    <n v="5472"/>
    <n v="160"/>
    <s v="FutureOfDriving"/>
    <m/>
    <m/>
    <x v="1"/>
    <n v="0"/>
    <n v="0"/>
    <n v="0"/>
  </r>
  <r>
    <s v="P247"/>
    <s v="Facebook"/>
    <d v="2024-08-27T00:00:00"/>
    <s v="Reel"/>
    <s v="Check out our latest reel on facebook!"/>
    <n v="3960"/>
    <n v="266"/>
    <n v="8"/>
    <n v="35640"/>
    <n v="34850"/>
    <n v="208"/>
    <s v="FutureOfDriving"/>
    <s v="EVRevolution"/>
    <s v="BetterWithTesla"/>
    <x v="4"/>
    <n v="0"/>
    <n v="150000"/>
    <n v="180000"/>
  </r>
  <r>
    <s v="P248"/>
    <s v="Facebook"/>
    <d v="2025-02-02T00:00:00"/>
    <s v="Story"/>
    <s v="Check out our latest story on facebook!"/>
    <n v="886"/>
    <n v="126"/>
    <n v="153"/>
    <n v="4430"/>
    <n v="4037"/>
    <n v="212"/>
    <s v="EVRevolution"/>
    <m/>
    <m/>
    <x v="4"/>
    <n v="150000"/>
    <n v="0"/>
    <n v="0"/>
  </r>
  <r>
    <s v="P249"/>
    <s v="Twitter"/>
    <d v="2024-07-18T00:00:00"/>
    <s v="Image"/>
    <s v="Check out our latest image on twitter!"/>
    <n v="827"/>
    <n v="77"/>
    <n v="402"/>
    <n v="14886"/>
    <n v="14129"/>
    <n v="254"/>
    <s v="EVRevolution"/>
    <m/>
    <m/>
    <x v="1"/>
    <n v="150000"/>
    <n v="0"/>
    <n v="0"/>
  </r>
  <r>
    <s v="P250"/>
    <s v="Facebook"/>
    <d v="2024-06-22T00:00:00"/>
    <s v="Reel"/>
    <s v="Check out our latest reel on facebook!"/>
    <n v="3813"/>
    <n v="935"/>
    <n v="274"/>
    <n v="68634"/>
    <n v="68488"/>
    <n v="251"/>
    <s v="FutureOfDriving"/>
    <m/>
    <m/>
    <x v="4"/>
    <n v="0"/>
    <n v="0"/>
    <n v="0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FutureOfDriving"/>
    <m/>
    <m/>
    <x v="4"/>
    <n v="0"/>
    <n v="0"/>
    <n v="0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FutureOfDriving"/>
    <m/>
    <m/>
    <x v="2"/>
    <n v="0"/>
    <n v="0"/>
    <n v="0"/>
  </r>
  <r>
    <s v="P253"/>
    <s v="Twitter"/>
    <d v="2024-08-03T00:00:00"/>
    <s v="Reel"/>
    <s v="Check out our latest reel on twitter!"/>
    <n v="3791"/>
    <n v="593"/>
    <n v="228"/>
    <n v="53074"/>
    <n v="52613"/>
    <n v="205"/>
    <s v="EVRevolution"/>
    <m/>
    <m/>
    <x v="4"/>
    <n v="150000"/>
    <n v="0"/>
    <n v="0"/>
  </r>
  <r>
    <s v="P254"/>
    <s v="Twitter"/>
    <d v="2025-01-14T00:00:00"/>
    <s v="Image"/>
    <s v="Check out our latest image on twitter!"/>
    <n v="2692"/>
    <n v="115"/>
    <n v="64"/>
    <n v="21536"/>
    <n v="21120"/>
    <n v="224"/>
    <s v="FutureOfDriving"/>
    <m/>
    <m/>
    <x v="1"/>
    <n v="0"/>
    <n v="0"/>
    <n v="0"/>
  </r>
  <r>
    <s v="P255"/>
    <s v="Facebook"/>
    <d v="2025-04-03T00:00:00"/>
    <s v="Story"/>
    <s v="Check out our latest story on facebook!"/>
    <n v="3767"/>
    <n v="514"/>
    <n v="238"/>
    <n v="37670"/>
    <n v="36807"/>
    <n v="226"/>
    <s v="FutureOfDriving"/>
    <m/>
    <m/>
    <x v="3"/>
    <n v="0"/>
    <n v="0"/>
    <n v="0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EVRevolution"/>
    <m/>
    <m/>
    <x v="1"/>
    <n v="150000"/>
    <n v="0"/>
    <n v="0"/>
  </r>
  <r>
    <s v="P257"/>
    <s v="Facebook"/>
    <d v="2025-04-06T00:00:00"/>
    <s v="Image"/>
    <s v="Check out our latest image on facebook!"/>
    <n v="3090"/>
    <n v="697"/>
    <n v="164"/>
    <n v="49440"/>
    <n v="48524"/>
    <n v="25"/>
    <s v="EVRevolution"/>
    <s v="EVRevolution"/>
    <s v="BetterWithTesla"/>
    <x v="1"/>
    <n v="150000"/>
    <n v="150000"/>
    <n v="180000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EVRevolution"/>
    <m/>
    <m/>
    <x v="1"/>
    <n v="150000"/>
    <n v="0"/>
    <n v="0"/>
  </r>
  <r>
    <s v="P259"/>
    <s v="Facebook"/>
    <d v="2025-02-10T00:00:00"/>
    <s v="Text"/>
    <s v="Check out our latest text on facebook!"/>
    <n v="562"/>
    <n v="158"/>
    <n v="149"/>
    <n v="3372"/>
    <n v="2940"/>
    <n v="93"/>
    <s v="TeslaCoInnovation"/>
    <m/>
    <m/>
    <x v="0"/>
    <n v="0"/>
    <n v="0"/>
    <n v="0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TeslaCoInnovation"/>
    <s v="EVRevolution"/>
    <s v="BetterWithTesla"/>
    <x v="2"/>
    <n v="0"/>
    <n v="150000"/>
    <n v="180000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EVRevolution"/>
    <m/>
    <m/>
    <x v="0"/>
    <n v="150000"/>
    <n v="0"/>
    <n v="0"/>
  </r>
  <r>
    <s v="P262"/>
    <s v="YouTube"/>
    <d v="2025-01-18T00:00:00"/>
    <s v="Image"/>
    <s v="Check out our latest image on youtube!"/>
    <n v="1206"/>
    <n v="238"/>
    <n v="36"/>
    <n v="9648"/>
    <n v="9417"/>
    <n v="237"/>
    <s v="TeslaCoInnovation"/>
    <m/>
    <m/>
    <x v="4"/>
    <n v="0"/>
    <n v="0"/>
    <n v="0"/>
  </r>
  <r>
    <s v="P263"/>
    <s v="Instagram"/>
    <d v="2024-08-20T00:00:00"/>
    <s v="Reel"/>
    <s v="Check out our latest reel on instagram!"/>
    <n v="2603"/>
    <n v="690"/>
    <n v="205"/>
    <n v="13015"/>
    <n v="12130"/>
    <n v="20"/>
    <s v="FutureOfDriving"/>
    <m/>
    <m/>
    <x v="1"/>
    <n v="0"/>
    <n v="0"/>
    <n v="0"/>
  </r>
  <r>
    <s v="P264"/>
    <s v="Twitter"/>
    <d v="2025-01-30T00:00:00"/>
    <s v="Image"/>
    <s v="Check out our latest image on twitter!"/>
    <n v="59"/>
    <n v="163"/>
    <n v="93"/>
    <n v="590"/>
    <n v="475"/>
    <n v="293"/>
    <s v="TeslaCoInnovation"/>
    <m/>
    <m/>
    <x v="1"/>
    <n v="0"/>
    <n v="0"/>
    <n v="0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EVRevolution"/>
    <m/>
    <m/>
    <x v="3"/>
    <n v="150000"/>
    <n v="0"/>
    <n v="0"/>
  </r>
  <r>
    <s v="P266"/>
    <s v="Facebook"/>
    <d v="2024-11-25T00:00:00"/>
    <s v="Story"/>
    <s v="Check out our latest story on facebook!"/>
    <n v="4182"/>
    <n v="640"/>
    <n v="240"/>
    <n v="50184"/>
    <n v="49351"/>
    <n v="10"/>
    <s v="TeslaCoInnovation"/>
    <m/>
    <m/>
    <x v="2"/>
    <n v="0"/>
    <n v="0"/>
    <n v="0"/>
  </r>
  <r>
    <s v="P267"/>
    <s v="Twitter"/>
    <d v="2024-10-04T00:00:00"/>
    <s v="Reel"/>
    <s v="Check out our latest reel on twitter!"/>
    <n v="4187"/>
    <n v="66"/>
    <n v="31"/>
    <n v="66992"/>
    <n v="66614"/>
    <n v="62"/>
    <s v="FutureOfDriving"/>
    <m/>
    <m/>
    <x v="4"/>
    <n v="0"/>
    <n v="0"/>
    <n v="0"/>
  </r>
  <r>
    <s v="P268"/>
    <s v="Instagram"/>
    <d v="2025-04-13T00:00:00"/>
    <s v="Reel"/>
    <s v="Check out our latest reel on instagram!"/>
    <n v="4579"/>
    <n v="125"/>
    <n v="300"/>
    <n v="59527"/>
    <n v="59400"/>
    <n v="269"/>
    <s v="EVRevolution"/>
    <m/>
    <m/>
    <x v="0"/>
    <n v="150000"/>
    <n v="0"/>
    <n v="0"/>
  </r>
  <r>
    <s v="P269"/>
    <s v="Instagram"/>
    <d v="2024-11-05T00:00:00"/>
    <s v="Video"/>
    <s v="Check out our latest video on instagram!"/>
    <n v="4561"/>
    <n v="51"/>
    <n v="441"/>
    <n v="22805"/>
    <n v="21890"/>
    <n v="45"/>
    <s v="TeslaCoInnovation"/>
    <m/>
    <m/>
    <x v="1"/>
    <n v="0"/>
    <n v="0"/>
    <n v="0"/>
  </r>
  <r>
    <s v="P270"/>
    <s v="YouTube"/>
    <d v="2025-01-15T00:00:00"/>
    <s v="Reel"/>
    <s v="Check out our latest reel on youtube!"/>
    <n v="3774"/>
    <n v="239"/>
    <n v="39"/>
    <n v="60384"/>
    <n v="59490"/>
    <n v="241"/>
    <s v="TeslaCoInnovation"/>
    <m/>
    <m/>
    <x v="2"/>
    <n v="0"/>
    <n v="0"/>
    <n v="0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EVRevolution"/>
    <m/>
    <m/>
    <x v="1"/>
    <n v="150000"/>
    <n v="0"/>
    <n v="0"/>
  </r>
  <r>
    <s v="P272"/>
    <s v="Instagram"/>
    <d v="2025-03-27T00:00:00"/>
    <s v="Text"/>
    <s v="Check out our latest text on instagram!"/>
    <n v="4941"/>
    <n v="414"/>
    <n v="266"/>
    <n v="39528"/>
    <n v="39154"/>
    <n v="217"/>
    <s v="TeslaCoInnovation"/>
    <m/>
    <m/>
    <x v="2"/>
    <n v="0"/>
    <n v="0"/>
    <n v="0"/>
  </r>
  <r>
    <s v="P273"/>
    <s v="YouTube"/>
    <d v="2024-10-12T00:00:00"/>
    <s v="Story"/>
    <s v="Check out our latest story on youtube!"/>
    <n v="3641"/>
    <n v="226"/>
    <n v="46"/>
    <n v="40051"/>
    <n v="39319"/>
    <n v="296"/>
    <s v="EVRevolution"/>
    <m/>
    <m/>
    <x v="3"/>
    <n v="150000"/>
    <n v="0"/>
    <n v="0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TeslaCoInnovation"/>
    <m/>
    <m/>
    <x v="3"/>
    <n v="0"/>
    <n v="0"/>
    <n v="0"/>
  </r>
  <r>
    <s v="P275"/>
    <s v="Facebook"/>
    <d v="2024-08-05T00:00:00"/>
    <s v="Reel"/>
    <s v="Check out our latest reel on facebook!"/>
    <n v="1741"/>
    <n v="831"/>
    <n v="345"/>
    <n v="17410"/>
    <n v="16844"/>
    <n v="58"/>
    <s v="EVRevolution"/>
    <m/>
    <m/>
    <x v="2"/>
    <n v="150000"/>
    <n v="0"/>
    <n v="0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TeslaCoInnovation"/>
    <m/>
    <m/>
    <x v="1"/>
    <n v="0"/>
    <n v="0"/>
    <n v="0"/>
  </r>
  <r>
    <s v="P277"/>
    <s v="Facebook"/>
    <d v="2025-04-06T00:00:00"/>
    <s v="Image"/>
    <s v="Check out our latest image on facebook!"/>
    <n v="4236"/>
    <n v="711"/>
    <n v="298"/>
    <n v="21180"/>
    <n v="20516"/>
    <n v="238"/>
    <s v="FutureOfDriving"/>
    <m/>
    <m/>
    <x v="0"/>
    <n v="0"/>
    <n v="0"/>
    <n v="0"/>
  </r>
  <r>
    <s v="P278"/>
    <s v="Twitter"/>
    <d v="2024-11-26T00:00:00"/>
    <s v="Text"/>
    <s v="Check out our latest text on twitter!"/>
    <n v="4516"/>
    <n v="836"/>
    <n v="169"/>
    <n v="49676"/>
    <n v="49257"/>
    <n v="282"/>
    <s v="EVRevolution"/>
    <m/>
    <m/>
    <x v="3"/>
    <n v="150000"/>
    <n v="0"/>
    <n v="0"/>
  </r>
  <r>
    <s v="P279"/>
    <s v="YouTube"/>
    <d v="2024-09-02T00:00:00"/>
    <s v="Image"/>
    <s v="Check out our latest image on youtube!"/>
    <n v="4905"/>
    <n v="845"/>
    <n v="129"/>
    <n v="98100"/>
    <n v="97772"/>
    <n v="279"/>
    <s v="TeslaCoInnovation"/>
    <m/>
    <m/>
    <x v="1"/>
    <n v="0"/>
    <n v="0"/>
    <n v="0"/>
  </r>
  <r>
    <s v="P280"/>
    <s v="YouTube"/>
    <d v="2024-10-21T00:00:00"/>
    <s v="Video"/>
    <s v="Check out our latest video on youtube!"/>
    <n v="4275"/>
    <n v="680"/>
    <n v="385"/>
    <n v="64125"/>
    <n v="63650"/>
    <n v="104"/>
    <s v="EVRevolution"/>
    <s v="TeslaCoInnovation"/>
    <s v="AnytimeIsTeslaTime"/>
    <x v="3"/>
    <n v="150000"/>
    <n v="0"/>
    <n v="200000"/>
  </r>
  <r>
    <s v="P281"/>
    <s v="YouTube"/>
    <d v="2025-03-22T00:00:00"/>
    <s v="Image"/>
    <s v="Check out our latest image on youtube!"/>
    <n v="3166"/>
    <n v="90"/>
    <n v="341"/>
    <n v="56988"/>
    <n v="56125"/>
    <n v="135"/>
    <s v="EVRevolution"/>
    <m/>
    <m/>
    <x v="1"/>
    <n v="150000"/>
    <n v="0"/>
    <n v="0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FutureOfDriving"/>
    <m/>
    <m/>
    <x v="2"/>
    <n v="0"/>
    <n v="0"/>
    <n v="0"/>
  </r>
  <r>
    <s v="P283"/>
    <s v="Twitter"/>
    <d v="2025-05-09T00:00:00"/>
    <s v="Reel"/>
    <s v="Check out our latest reel on twitter!"/>
    <n v="3367"/>
    <n v="302"/>
    <n v="57"/>
    <n v="63973"/>
    <n v="63789"/>
    <n v="157"/>
    <s v="FutureOfDriving"/>
    <m/>
    <m/>
    <x v="1"/>
    <n v="0"/>
    <n v="0"/>
    <n v="0"/>
  </r>
  <r>
    <s v="P284"/>
    <s v="Twitter"/>
    <d v="2024-09-17T00:00:00"/>
    <s v="Text"/>
    <s v="Check out our latest text on twitter!"/>
    <n v="571"/>
    <n v="190"/>
    <n v="352"/>
    <n v="9707"/>
    <n v="9418"/>
    <n v="231"/>
    <s v="TeslaCoInnovation"/>
    <m/>
    <m/>
    <x v="3"/>
    <n v="0"/>
    <n v="0"/>
    <n v="0"/>
  </r>
  <r>
    <s v="P285"/>
    <s v="YouTube"/>
    <d v="2024-07-18T00:00:00"/>
    <s v="Text"/>
    <s v="Check out our latest text on youtube!"/>
    <n v="4021"/>
    <n v="794"/>
    <n v="77"/>
    <n v="36189"/>
    <n v="35505"/>
    <n v="174"/>
    <s v="EVRevolution"/>
    <m/>
    <m/>
    <x v="4"/>
    <n v="150000"/>
    <n v="0"/>
    <n v="0"/>
  </r>
  <r>
    <s v="P286"/>
    <s v="YouTube"/>
    <d v="2024-09-25T00:00:00"/>
    <s v="Video"/>
    <s v="Check out our latest video on youtube!"/>
    <n v="3389"/>
    <n v="344"/>
    <n v="229"/>
    <n v="20334"/>
    <n v="19443"/>
    <n v="228"/>
    <s v="FutureOfDriving"/>
    <m/>
    <m/>
    <x v="2"/>
    <n v="0"/>
    <n v="0"/>
    <n v="0"/>
  </r>
  <r>
    <s v="P287"/>
    <s v="Instagram"/>
    <d v="2024-08-15T00:00:00"/>
    <s v="Reel"/>
    <s v="Check out our latest reel on instagram!"/>
    <n v="1164"/>
    <n v="616"/>
    <n v="324"/>
    <n v="6984"/>
    <n v="6636"/>
    <n v="82"/>
    <s v="EVRevolution"/>
    <m/>
    <m/>
    <x v="0"/>
    <n v="150000"/>
    <n v="0"/>
    <n v="0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FutureOfDriving"/>
    <m/>
    <m/>
    <x v="2"/>
    <n v="0"/>
    <n v="0"/>
    <n v="0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FutureOfDriving"/>
    <m/>
    <m/>
    <x v="4"/>
    <n v="0"/>
    <n v="0"/>
    <n v="0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EVRevolution"/>
    <m/>
    <m/>
    <x v="3"/>
    <n v="150000"/>
    <n v="0"/>
    <n v="0"/>
  </r>
  <r>
    <s v="P291"/>
    <s v="Facebook"/>
    <d v="2024-11-06T00:00:00"/>
    <s v="Video"/>
    <s v="Check out our latest video on facebook!"/>
    <n v="4663"/>
    <n v="145"/>
    <n v="225"/>
    <n v="69945"/>
    <n v="69596"/>
    <n v="35"/>
    <s v="EVRevolution"/>
    <m/>
    <m/>
    <x v="3"/>
    <n v="150000"/>
    <n v="0"/>
    <n v="0"/>
  </r>
  <r>
    <s v="P292"/>
    <s v="Facebook"/>
    <d v="2024-11-17T00:00:00"/>
    <s v="Text"/>
    <s v="Check out our latest text on facebook!"/>
    <n v="880"/>
    <n v="297"/>
    <n v="345"/>
    <n v="12320"/>
    <n v="11978"/>
    <n v="238"/>
    <s v="TeslaCoInnovation"/>
    <s v="AnytimeIsTeslaTime"/>
    <m/>
    <x v="4"/>
    <n v="0"/>
    <n v="200000"/>
    <n v="0"/>
  </r>
  <r>
    <s v="P293"/>
    <s v="Facebook"/>
    <d v="2025-05-14T00:00:00"/>
    <s v="Text"/>
    <s v="Check out our latest text on facebook!"/>
    <n v="2634"/>
    <n v="726"/>
    <n v="241"/>
    <n v="28974"/>
    <n v="28102"/>
    <n v="277"/>
    <s v="EVRevolution"/>
    <m/>
    <m/>
    <x v="0"/>
    <n v="150000"/>
    <n v="0"/>
    <n v="0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EVRevolution"/>
    <m/>
    <m/>
    <x v="2"/>
    <n v="150000"/>
    <n v="0"/>
    <n v="0"/>
  </r>
  <r>
    <s v="P295"/>
    <s v="Twitter"/>
    <d v="2025-05-06T00:00:00"/>
    <s v="Image"/>
    <s v="Check out our latest image on twitter!"/>
    <n v="1952"/>
    <n v="344"/>
    <n v="287"/>
    <n v="15616"/>
    <n v="15403"/>
    <n v="235"/>
    <s v="FutureOfDriving"/>
    <s v="TeslaCoInnovation"/>
    <s v="AnytimeIsTeslaTime"/>
    <x v="1"/>
    <n v="0"/>
    <n v="0"/>
    <n v="200000"/>
  </r>
  <r>
    <s v="P296"/>
    <s v="Twitter"/>
    <d v="2025-02-11T00:00:00"/>
    <s v="Video"/>
    <s v="Check out our latest video on twitter!"/>
    <n v="3440"/>
    <n v="13"/>
    <n v="20"/>
    <n v="58480"/>
    <n v="58146"/>
    <n v="210"/>
    <s v="TeslaCoInnovation"/>
    <s v="SmoothLikeNitroTesla"/>
    <m/>
    <x v="3"/>
    <n v="0"/>
    <n v="250000"/>
    <n v="0"/>
  </r>
  <r>
    <s v="P297"/>
    <s v="Twitter"/>
    <d v="2024-12-24T00:00:00"/>
    <s v="Text"/>
    <s v="Check out our latest text on twitter!"/>
    <n v="2166"/>
    <n v="354"/>
    <n v="117"/>
    <n v="10830"/>
    <n v="10245"/>
    <n v="24"/>
    <s v="EVRevolution"/>
    <m/>
    <m/>
    <x v="3"/>
    <n v="150000"/>
    <n v="0"/>
    <n v="0"/>
  </r>
  <r>
    <s v="P298"/>
    <s v="Facebook"/>
    <d v="2024-10-24T00:00:00"/>
    <s v="Image"/>
    <s v="Check out our latest image on facebook!"/>
    <n v="4303"/>
    <n v="451"/>
    <n v="286"/>
    <n v="86060"/>
    <n v="85823"/>
    <n v="14"/>
    <s v="TeslaCoInnovation"/>
    <m/>
    <m/>
    <x v="2"/>
    <n v="0"/>
    <n v="0"/>
    <n v="0"/>
  </r>
  <r>
    <s v="P299"/>
    <s v="Facebook"/>
    <d v="2024-08-26T00:00:00"/>
    <s v="Image"/>
    <s v="Check out our latest image on facebook!"/>
    <n v="2581"/>
    <n v="517"/>
    <n v="117"/>
    <n v="23229"/>
    <n v="22331"/>
    <n v="70"/>
    <s v="FutureOfDriving"/>
    <m/>
    <m/>
    <x v="2"/>
    <n v="0"/>
    <n v="0"/>
    <n v="0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TeslaCoInnovation"/>
    <s v="EVRevolution"/>
    <s v="BetterWithTesla"/>
    <x v="0"/>
    <n v="0"/>
    <n v="150000"/>
    <n v="18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004"/>
    <n v="21675"/>
    <n v="15"/>
    <s v="FutureOfDriving"/>
    <s v="AnytimeIsTeslaTime"/>
    <m/>
    <x v="0"/>
    <n v="0"/>
    <n v="200000"/>
    <n v="0"/>
    <n v="1.0019999999999999E-2"/>
  </r>
  <r>
    <s v="P002"/>
    <s v="Twitter"/>
    <d v="2025-04-03T00:00:00"/>
    <s v="Text"/>
    <s v="Check out our latest text on twitter!"/>
    <n v="4054"/>
    <n v="389"/>
    <n v="493"/>
    <n v="64864"/>
    <n v="5053"/>
    <n v="64383"/>
    <n v="117"/>
    <s v="TeslaCoInnovation"/>
    <s v="BetterWithTesla"/>
    <m/>
    <x v="1"/>
    <n v="0"/>
    <n v="180000"/>
    <n v="0"/>
    <n v="2.8072222222222221E-2"/>
  </r>
  <r>
    <s v="P003"/>
    <s v="YouTube"/>
    <d v="2025-05-12T00:00:00"/>
    <s v="Reel"/>
    <s v="Check out our latest reel on youtube!"/>
    <n v="2795"/>
    <n v="105"/>
    <n v="49"/>
    <n v="53105"/>
    <n v="3153"/>
    <n v="52307"/>
    <n v="204"/>
    <s v="TeslaCoInnovation"/>
    <m/>
    <m/>
    <x v="2"/>
    <n v="0"/>
    <n v="0"/>
    <n v="0"/>
    <s v=""/>
  </r>
  <r>
    <s v="P004"/>
    <s v="Instagram"/>
    <d v="2024-08-12T00:00:00"/>
    <s v="Story"/>
    <s v="Check out our latest story on instagram!"/>
    <n v="2404"/>
    <n v="363"/>
    <n v="138"/>
    <n v="19232"/>
    <n v="3033"/>
    <n v="18636"/>
    <n v="128"/>
    <s v="EVRevolution"/>
    <m/>
    <m/>
    <x v="3"/>
    <n v="150000"/>
    <n v="0"/>
    <n v="0"/>
    <n v="2.0219999999999998E-2"/>
  </r>
  <r>
    <s v="P005"/>
    <s v="YouTube"/>
    <d v="2024-06-26T00:00:00"/>
    <s v="Reel"/>
    <s v="Check out our latest reel on youtube!"/>
    <n v="3557"/>
    <n v="687"/>
    <n v="424"/>
    <n v="71140"/>
    <n v="4892"/>
    <n v="70701"/>
    <n v="224"/>
    <s v="EVRevolution"/>
    <s v="TeslaCoInnovation"/>
    <m/>
    <x v="0"/>
    <n v="150000"/>
    <n v="0"/>
    <n v="0"/>
    <n v="3.2613333333333334E-2"/>
  </r>
  <r>
    <s v="P006"/>
    <s v="Facebook"/>
    <d v="2024-10-31T00:00:00"/>
    <s v="Carousel"/>
    <s v="Check out our latest carousel on facebook!"/>
    <n v="2945"/>
    <n v="930"/>
    <n v="355"/>
    <n v="23560"/>
    <n v="4486"/>
    <n v="23275"/>
    <n v="256"/>
    <s v="TeslaCoInnovation"/>
    <m/>
    <m/>
    <x v="1"/>
    <n v="0"/>
    <n v="0"/>
    <n v="0"/>
    <s v=""/>
  </r>
  <r>
    <s v="P007"/>
    <s v="Twitter"/>
    <d v="2024-06-24T00:00:00"/>
    <s v="Carousel"/>
    <s v="Check out our latest carousel on twitter!"/>
    <n v="3860"/>
    <n v="201"/>
    <n v="279"/>
    <n v="61760"/>
    <n v="4575"/>
    <n v="61660"/>
    <n v="235"/>
    <s v="TeslaCoInnovation"/>
    <m/>
    <m/>
    <x v="1"/>
    <n v="0"/>
    <n v="0"/>
    <n v="0"/>
    <s v=""/>
  </r>
  <r>
    <s v="P008"/>
    <s v="YouTube"/>
    <d v="2024-07-13T00:00:00"/>
    <s v="Image"/>
    <s v="Check out our latest image on youtube!"/>
    <n v="3929"/>
    <n v="262"/>
    <n v="278"/>
    <n v="43219"/>
    <n v="4508"/>
    <n v="42841"/>
    <n v="39"/>
    <s v="EVRevolution"/>
    <m/>
    <m/>
    <x v="3"/>
    <n v="150000"/>
    <n v="0"/>
    <n v="0"/>
    <n v="3.0053333333333335E-2"/>
  </r>
  <r>
    <s v="P009"/>
    <s v="Facebook"/>
    <d v="2024-08-30T00:00:00"/>
    <s v="Text"/>
    <s v="Check out our latest text on facebook!"/>
    <n v="3784"/>
    <n v="808"/>
    <n v="404"/>
    <n v="56760"/>
    <n v="5127"/>
    <n v="56343"/>
    <n v="131"/>
    <s v="TeslaCoInnovation"/>
    <m/>
    <m/>
    <x v="1"/>
    <n v="0"/>
    <n v="0"/>
    <n v="0"/>
    <s v=""/>
  </r>
  <r>
    <s v="P010"/>
    <s v="Facebook"/>
    <d v="2025-03-11T00:00:00"/>
    <s v="Image"/>
    <s v="Check out our latest image on facebook!"/>
    <n v="4241"/>
    <n v="902"/>
    <n v="47"/>
    <n v="72097"/>
    <n v="5357"/>
    <n v="71598"/>
    <n v="167"/>
    <s v="TeslaCoInnovation"/>
    <m/>
    <m/>
    <x v="1"/>
    <n v="0"/>
    <n v="0"/>
    <n v="0"/>
    <s v=""/>
  </r>
  <r>
    <s v="P011"/>
    <s v="Instagram"/>
    <d v="2025-02-02T00:00:00"/>
    <s v="Story"/>
    <s v="Check out our latest story on instagram!"/>
    <n v="1792"/>
    <n v="614"/>
    <n v="497"/>
    <n v="25088"/>
    <n v="2968"/>
    <n v="24675"/>
    <n v="65"/>
    <s v="FutureOfDriving"/>
    <m/>
    <m/>
    <x v="3"/>
    <n v="0"/>
    <n v="0"/>
    <n v="0"/>
    <s v=""/>
  </r>
  <r>
    <s v="P012"/>
    <s v="Facebook"/>
    <d v="2024-07-21T00:00:00"/>
    <s v="Reel"/>
    <s v="Check out our latest reel on facebook!"/>
    <n v="1946"/>
    <n v="686"/>
    <n v="377"/>
    <n v="23352"/>
    <n v="3222"/>
    <n v="22982"/>
    <n v="213"/>
    <s v="FutureOfDriving"/>
    <m/>
    <m/>
    <x v="2"/>
    <n v="0"/>
    <n v="0"/>
    <n v="0"/>
    <s v=""/>
  </r>
  <r>
    <s v="P013"/>
    <s v="YouTube"/>
    <d v="2024-11-18T00:00:00"/>
    <s v="Carousel"/>
    <s v="Check out our latest carousel on youtube!"/>
    <n v="1171"/>
    <n v="286"/>
    <n v="231"/>
    <n v="22249"/>
    <n v="1802"/>
    <n v="21282"/>
    <n v="114"/>
    <s v="EVRevolution"/>
    <m/>
    <m/>
    <x v="0"/>
    <n v="150000"/>
    <n v="0"/>
    <n v="0"/>
    <n v="1.2013333333333334E-2"/>
  </r>
  <r>
    <s v="P014"/>
    <s v="Facebook"/>
    <d v="2025-02-16T00:00:00"/>
    <s v="Story"/>
    <s v="Check out our latest story on facebook!"/>
    <n v="4242"/>
    <n v="555"/>
    <n v="131"/>
    <n v="33936"/>
    <n v="5193"/>
    <n v="33802"/>
    <n v="265"/>
    <s v="FutureOfDriving"/>
    <m/>
    <m/>
    <x v="4"/>
    <n v="0"/>
    <n v="0"/>
    <n v="0"/>
    <s v=""/>
  </r>
  <r>
    <s v="P015"/>
    <s v="Facebook"/>
    <d v="2024-10-24T00:00:00"/>
    <s v="Video"/>
    <s v="Check out our latest video on facebook!"/>
    <n v="3888"/>
    <n v="604"/>
    <n v="128"/>
    <n v="77760"/>
    <n v="4640"/>
    <n v="77167"/>
    <n v="20"/>
    <s v="FutureOfDriving"/>
    <m/>
    <m/>
    <x v="0"/>
    <n v="0"/>
    <n v="0"/>
    <n v="0"/>
    <s v=""/>
  </r>
  <r>
    <s v="P016"/>
    <s v="Facebook"/>
    <d v="2024-08-26T00:00:00"/>
    <s v="Text"/>
    <s v="Check out our latest text on facebook!"/>
    <n v="3452"/>
    <n v="377"/>
    <n v="360"/>
    <n v="55232"/>
    <n v="4276"/>
    <n v="55075"/>
    <n v="87"/>
    <s v="FutureOfDriving"/>
    <m/>
    <m/>
    <x v="2"/>
    <n v="0"/>
    <n v="0"/>
    <n v="0"/>
    <s v=""/>
  </r>
  <r>
    <s v="P017"/>
    <s v="Facebook"/>
    <d v="2025-05-05T00:00:00"/>
    <s v="Text"/>
    <s v="Check out our latest text on facebook!"/>
    <n v="4441"/>
    <n v="511"/>
    <n v="70"/>
    <n v="53292"/>
    <n v="5181"/>
    <n v="53082"/>
    <n v="159"/>
    <s v="EVRevolution"/>
    <m/>
    <m/>
    <x v="3"/>
    <n v="150000"/>
    <n v="0"/>
    <n v="0"/>
    <n v="3.4540000000000001E-2"/>
  </r>
  <r>
    <s v="P018"/>
    <s v="Instagram"/>
    <d v="2024-08-19T00:00:00"/>
    <s v="Reel"/>
    <s v="Check out our latest reel on instagram!"/>
    <n v="3000"/>
    <n v="382"/>
    <n v="325"/>
    <n v="36000"/>
    <n v="3726"/>
    <n v="35819"/>
    <n v="19"/>
    <s v="FutureOfDriving"/>
    <m/>
    <m/>
    <x v="0"/>
    <n v="0"/>
    <n v="0"/>
    <n v="0"/>
    <s v=""/>
  </r>
  <r>
    <s v="P019"/>
    <s v="Instagram"/>
    <d v="2024-06-23T00:00:00"/>
    <s v="Video"/>
    <s v="Check out our latest video on instagram!"/>
    <n v="1071"/>
    <n v="519"/>
    <n v="22"/>
    <n v="16065"/>
    <n v="1715"/>
    <n v="15865"/>
    <n v="103"/>
    <s v="TeslaCoInnovation"/>
    <m/>
    <m/>
    <x v="3"/>
    <n v="0"/>
    <n v="0"/>
    <n v="0"/>
    <s v=""/>
  </r>
  <r>
    <s v="P020"/>
    <s v="Instagram"/>
    <d v="2024-09-09T00:00:00"/>
    <s v="Carousel"/>
    <s v="Check out our latest carousel on instagram!"/>
    <n v="4054"/>
    <n v="488"/>
    <n v="373"/>
    <n v="77026"/>
    <n v="4940"/>
    <n v="76881"/>
    <n v="25"/>
    <s v="TeslaCoInnovation"/>
    <m/>
    <m/>
    <x v="0"/>
    <n v="0"/>
    <n v="0"/>
    <n v="0"/>
    <s v=""/>
  </r>
  <r>
    <s v="P021"/>
    <s v="Instagram"/>
    <d v="2025-01-04T00:00:00"/>
    <s v="Reel"/>
    <s v="Check out our latest reel on instagram!"/>
    <n v="4838"/>
    <n v="640"/>
    <n v="128"/>
    <n v="72570"/>
    <n v="5689"/>
    <n v="72396"/>
    <n v="83"/>
    <s v="FutureOfDriving"/>
    <m/>
    <m/>
    <x v="3"/>
    <n v="0"/>
    <n v="0"/>
    <n v="0"/>
    <s v=""/>
  </r>
  <r>
    <s v="P022"/>
    <s v="Facebook"/>
    <d v="2025-02-27T00:00:00"/>
    <s v="Text"/>
    <s v="Check out our latest text on facebook!"/>
    <n v="1570"/>
    <n v="187"/>
    <n v="260"/>
    <n v="25120"/>
    <n v="2150"/>
    <n v="24613"/>
    <n v="133"/>
    <s v="TeslaCoInnovation"/>
    <m/>
    <m/>
    <x v="3"/>
    <n v="0"/>
    <n v="0"/>
    <n v="0"/>
    <s v=""/>
  </r>
  <r>
    <s v="P023"/>
    <s v="Facebook"/>
    <d v="2024-11-06T00:00:00"/>
    <s v="Video"/>
    <s v="Check out our latest video on facebook!"/>
    <n v="1606"/>
    <n v="547"/>
    <n v="316"/>
    <n v="32120"/>
    <n v="2694"/>
    <n v="31736"/>
    <n v="225"/>
    <s v="TeslaCoInnovation"/>
    <s v="AnytimeIsTeslaTime"/>
    <m/>
    <x v="1"/>
    <n v="0"/>
    <n v="200000"/>
    <n v="0"/>
    <n v="1.3469999999999999E-2"/>
  </r>
  <r>
    <s v="P024"/>
    <s v="Facebook"/>
    <d v="2025-01-23T00:00:00"/>
    <s v="Video"/>
    <s v="Check out our latest video on facebook!"/>
    <n v="3961"/>
    <n v="761"/>
    <n v="131"/>
    <n v="67337"/>
    <n v="5014"/>
    <n v="66615"/>
    <n v="161"/>
    <s v="FutureOfDriving"/>
    <m/>
    <m/>
    <x v="2"/>
    <n v="0"/>
    <n v="0"/>
    <n v="0"/>
    <s v=""/>
  </r>
  <r>
    <s v="P025"/>
    <s v="Twitter"/>
    <d v="2025-04-10T00:00:00"/>
    <s v="Carousel"/>
    <s v="Check out our latest carousel on twitter!"/>
    <n v="3128"/>
    <n v="211"/>
    <n v="197"/>
    <n v="59432"/>
    <n v="3774"/>
    <n v="59182"/>
    <n v="238"/>
    <s v="EVRevolution"/>
    <m/>
    <m/>
    <x v="4"/>
    <n v="150000"/>
    <n v="0"/>
    <n v="0"/>
    <n v="2.5159999999999998E-2"/>
  </r>
  <r>
    <s v="P026"/>
    <s v="YouTube"/>
    <d v="2025-04-05T00:00:00"/>
    <s v="Reel"/>
    <s v="Check out our latest reel on youtube!"/>
    <n v="3009"/>
    <n v="413"/>
    <n v="358"/>
    <n v="42126"/>
    <n v="3991"/>
    <n v="41309"/>
    <n v="211"/>
    <s v="FutureOfDriving"/>
    <m/>
    <m/>
    <x v="1"/>
    <n v="0"/>
    <n v="0"/>
    <n v="0"/>
    <s v=""/>
  </r>
  <r>
    <s v="P027"/>
    <s v="YouTube"/>
    <d v="2024-09-17T00:00:00"/>
    <s v="Text"/>
    <s v="Check out our latest text on youtube!"/>
    <n v="2076"/>
    <n v="195"/>
    <n v="104"/>
    <n v="33216"/>
    <n v="2426"/>
    <n v="32244"/>
    <n v="51"/>
    <s v="FutureOfDriving"/>
    <m/>
    <m/>
    <x v="3"/>
    <n v="0"/>
    <n v="0"/>
    <n v="0"/>
    <s v=""/>
  </r>
  <r>
    <s v="P028"/>
    <s v="Instagram"/>
    <d v="2025-03-04T00:00:00"/>
    <s v="Video"/>
    <s v="Check out our latest video on instagram!"/>
    <n v="432"/>
    <n v="624"/>
    <n v="123"/>
    <n v="6912"/>
    <n v="1258"/>
    <n v="6259"/>
    <n v="79"/>
    <s v="FutureOfDriving"/>
    <m/>
    <m/>
    <x v="3"/>
    <n v="0"/>
    <n v="0"/>
    <n v="0"/>
    <s v=""/>
  </r>
  <r>
    <s v="P029"/>
    <s v="Instagram"/>
    <d v="2025-01-31T00:00:00"/>
    <s v="Carousel"/>
    <s v="Check out our latest carousel on instagram!"/>
    <n v="2566"/>
    <n v="118"/>
    <n v="37"/>
    <n v="12830"/>
    <n v="2942"/>
    <n v="12264"/>
    <n v="221"/>
    <s v="FutureOfDriving"/>
    <m/>
    <m/>
    <x v="2"/>
    <n v="0"/>
    <n v="0"/>
    <n v="0"/>
    <s v=""/>
  </r>
  <r>
    <s v="P030"/>
    <s v="Instagram"/>
    <d v="2025-02-25T00:00:00"/>
    <s v="Video"/>
    <s v="Check out our latest video on instagram!"/>
    <n v="3095"/>
    <n v="39"/>
    <n v="78"/>
    <n v="55710"/>
    <n v="3305"/>
    <n v="54808"/>
    <n v="93"/>
    <s v="EVRevolution"/>
    <m/>
    <m/>
    <x v="4"/>
    <n v="150000"/>
    <n v="0"/>
    <n v="0"/>
    <n v="2.2033333333333332E-2"/>
  </r>
  <r>
    <s v="P031"/>
    <s v="Instagram"/>
    <d v="2024-12-16T00:00:00"/>
    <s v="Text"/>
    <s v="Check out our latest text on instagram!"/>
    <n v="438"/>
    <n v="153"/>
    <n v="275"/>
    <n v="3066"/>
    <n v="1148"/>
    <n v="2701"/>
    <n v="282"/>
    <s v="TeslaCoInnovation"/>
    <m/>
    <m/>
    <x v="1"/>
    <n v="0"/>
    <n v="0"/>
    <n v="0"/>
    <s v=""/>
  </r>
  <r>
    <s v="P032"/>
    <s v="Twitter"/>
    <d v="2024-07-31T00:00:00"/>
    <s v="Carousel"/>
    <s v="Check out our latest carousel on twitter!"/>
    <n v="2278"/>
    <n v="10"/>
    <n v="321"/>
    <n v="13668"/>
    <n v="2884"/>
    <n v="12676"/>
    <n v="275"/>
    <s v="EVRevolution"/>
    <m/>
    <m/>
    <x v="0"/>
    <n v="150000"/>
    <n v="0"/>
    <n v="0"/>
    <n v="1.9226666666666666E-2"/>
  </r>
  <r>
    <s v="P033"/>
    <s v="Facebook"/>
    <d v="2024-08-21T00:00:00"/>
    <s v="Image"/>
    <s v="Check out our latest image on facebook!"/>
    <n v="1407"/>
    <n v="400"/>
    <n v="351"/>
    <n v="16884"/>
    <n v="2271"/>
    <n v="15954"/>
    <n v="113"/>
    <s v="TeslaCoInnovation"/>
    <m/>
    <m/>
    <x v="0"/>
    <n v="0"/>
    <n v="0"/>
    <n v="0"/>
    <s v=""/>
  </r>
  <r>
    <s v="P034"/>
    <s v="Facebook"/>
    <d v="2025-03-26T00:00:00"/>
    <s v="Text"/>
    <s v="Check out our latest text on facebook!"/>
    <n v="1652"/>
    <n v="89"/>
    <n v="357"/>
    <n v="29736"/>
    <n v="2313"/>
    <n v="28771"/>
    <n v="215"/>
    <s v="TeslaCoInnovation"/>
    <m/>
    <m/>
    <x v="2"/>
    <n v="0"/>
    <n v="0"/>
    <n v="0"/>
    <s v=""/>
  </r>
  <r>
    <s v="P035"/>
    <s v="Instagram"/>
    <d v="2024-11-30T00:00:00"/>
    <s v="Video"/>
    <s v="Check out our latest video on instagram!"/>
    <n v="3775"/>
    <n v="16"/>
    <n v="239"/>
    <n v="33975"/>
    <n v="4301"/>
    <n v="33310"/>
    <n v="271"/>
    <s v="FutureOfDriving"/>
    <m/>
    <m/>
    <x v="1"/>
    <n v="0"/>
    <n v="0"/>
    <n v="0"/>
    <s v=""/>
  </r>
  <r>
    <s v="P036"/>
    <s v="Instagram"/>
    <d v="2025-04-19T00:00:00"/>
    <s v="Story"/>
    <s v="Check out our latest story on instagram!"/>
    <n v="4518"/>
    <n v="285"/>
    <n v="383"/>
    <n v="67770"/>
    <n v="5217"/>
    <n v="67621"/>
    <n v="31"/>
    <s v="EVRevolution"/>
    <m/>
    <m/>
    <x v="1"/>
    <n v="150000"/>
    <n v="0"/>
    <n v="0"/>
    <n v="3.4779999999999998E-2"/>
  </r>
  <r>
    <s v="P037"/>
    <s v="Facebook"/>
    <d v="2025-01-06T00:00:00"/>
    <s v="Carousel"/>
    <s v="Check out our latest carousel on facebook!"/>
    <n v="3024"/>
    <n v="925"/>
    <n v="350"/>
    <n v="24192"/>
    <n v="4335"/>
    <n v="23518"/>
    <n v="36"/>
    <s v="EVRevolution"/>
    <m/>
    <m/>
    <x v="1"/>
    <n v="150000"/>
    <n v="0"/>
    <n v="0"/>
    <n v="2.8899999999999999E-2"/>
  </r>
  <r>
    <s v="P038"/>
    <s v="YouTube"/>
    <d v="2025-02-17T00:00:00"/>
    <s v="Reel"/>
    <s v="Check out our latest reel on youtube!"/>
    <n v="3138"/>
    <n v="123"/>
    <n v="291"/>
    <n v="28242"/>
    <n v="3639"/>
    <n v="27550"/>
    <n v="87"/>
    <s v="TeslaCoInnovation"/>
    <m/>
    <m/>
    <x v="3"/>
    <n v="0"/>
    <n v="0"/>
    <n v="0"/>
    <s v=""/>
  </r>
  <r>
    <s v="P039"/>
    <s v="Facebook"/>
    <d v="2024-11-25T00:00:00"/>
    <s v="Image"/>
    <s v="Check out our latest image on facebook!"/>
    <n v="3564"/>
    <n v="629"/>
    <n v="177"/>
    <n v="60588"/>
    <n v="4462"/>
    <n v="59627"/>
    <n v="92"/>
    <s v="TeslaCoInnovation"/>
    <m/>
    <m/>
    <x v="4"/>
    <n v="0"/>
    <n v="0"/>
    <n v="0"/>
    <s v=""/>
  </r>
  <r>
    <s v="P040"/>
    <s v="Twitter"/>
    <d v="2025-03-07T00:00:00"/>
    <s v="Image"/>
    <s v="Check out our latest image on twitter!"/>
    <n v="4750"/>
    <n v="151"/>
    <n v="415"/>
    <n v="38000"/>
    <n v="5615"/>
    <n v="37792"/>
    <n v="299"/>
    <s v="EVRevolution"/>
    <m/>
    <m/>
    <x v="3"/>
    <n v="150000"/>
    <n v="0"/>
    <n v="0"/>
    <n v="3.7433333333333332E-2"/>
  </r>
  <r>
    <s v="P041"/>
    <s v="Instagram"/>
    <d v="2025-03-08T00:00:00"/>
    <s v="Reel"/>
    <s v="Check out our latest reel on instagram!"/>
    <n v="456"/>
    <n v="629"/>
    <n v="428"/>
    <n v="8208"/>
    <n v="1718"/>
    <n v="7377"/>
    <n v="205"/>
    <s v="FutureOfDriving"/>
    <m/>
    <m/>
    <x v="3"/>
    <n v="0"/>
    <n v="0"/>
    <n v="0"/>
    <s v=""/>
  </r>
  <r>
    <s v="P042"/>
    <s v="YouTube"/>
    <d v="2025-03-05T00:00:00"/>
    <s v="Reel"/>
    <s v="Check out our latest reel on youtube!"/>
    <n v="1543"/>
    <n v="820"/>
    <n v="333"/>
    <n v="12344"/>
    <n v="2937"/>
    <n v="11496"/>
    <n v="241"/>
    <s v="EVRevolution"/>
    <m/>
    <m/>
    <x v="4"/>
    <n v="150000"/>
    <n v="0"/>
    <n v="0"/>
    <n v="1.958E-2"/>
  </r>
  <r>
    <s v="P043"/>
    <s v="Instagram"/>
    <d v="2024-12-14T00:00:00"/>
    <s v="Carousel"/>
    <s v="Check out our latest carousel on instagram!"/>
    <n v="2174"/>
    <n v="658"/>
    <n v="15"/>
    <n v="13044"/>
    <n v="2984"/>
    <n v="12206"/>
    <n v="137"/>
    <s v="TeslaCoInnovation"/>
    <m/>
    <m/>
    <x v="2"/>
    <n v="0"/>
    <n v="0"/>
    <n v="0"/>
    <s v=""/>
  </r>
  <r>
    <s v="P044"/>
    <s v="Twitter"/>
    <d v="2025-03-02T00:00:00"/>
    <s v="Image"/>
    <s v="Check out our latest image on twitter!"/>
    <n v="2358"/>
    <n v="784"/>
    <n v="344"/>
    <n v="35370"/>
    <n v="3702"/>
    <n v="34475"/>
    <n v="216"/>
    <s v="TeslaCoInnovation"/>
    <m/>
    <m/>
    <x v="4"/>
    <n v="0"/>
    <n v="0"/>
    <n v="0"/>
    <s v=""/>
  </r>
  <r>
    <s v="P045"/>
    <s v="Facebook"/>
    <d v="2024-11-01T00:00:00"/>
    <s v="Video"/>
    <s v="Check out our latest video on facebook!"/>
    <n v="3371"/>
    <n v="106"/>
    <n v="327"/>
    <n v="50565"/>
    <n v="3980"/>
    <n v="49816"/>
    <n v="176"/>
    <s v="FutureOfDriving"/>
    <m/>
    <m/>
    <x v="0"/>
    <n v="0"/>
    <n v="0"/>
    <n v="0"/>
    <s v=""/>
  </r>
  <r>
    <s v="P046"/>
    <s v="Twitter"/>
    <d v="2025-05-02T00:00:00"/>
    <s v="Video"/>
    <s v="Check out our latest video on twitter!"/>
    <n v="1108"/>
    <n v="177"/>
    <n v="212"/>
    <n v="8864"/>
    <n v="1594"/>
    <n v="8710"/>
    <n v="97"/>
    <s v="TeslaCoInnovation"/>
    <m/>
    <m/>
    <x v="3"/>
    <n v="0"/>
    <n v="0"/>
    <n v="0"/>
    <s v=""/>
  </r>
  <r>
    <s v="P047"/>
    <s v="Twitter"/>
    <d v="2025-02-24T00:00:00"/>
    <s v="Carousel"/>
    <s v="Check out our latest carousel on twitter!"/>
    <n v="2704"/>
    <n v="752"/>
    <n v="153"/>
    <n v="21632"/>
    <n v="3736"/>
    <n v="20792"/>
    <n v="127"/>
    <s v="FutureOfDriving"/>
    <m/>
    <m/>
    <x v="4"/>
    <n v="0"/>
    <n v="0"/>
    <n v="0"/>
    <s v=""/>
  </r>
  <r>
    <s v="P048"/>
    <s v="Twitter"/>
    <d v="2025-03-11T00:00:00"/>
    <s v="Story"/>
    <s v="Check out our latest story on twitter!"/>
    <n v="1950"/>
    <n v="295"/>
    <n v="478"/>
    <n v="37050"/>
    <n v="2842"/>
    <n v="36272"/>
    <n v="119"/>
    <s v="TeslaCoInnovation"/>
    <m/>
    <m/>
    <x v="4"/>
    <n v="0"/>
    <n v="0"/>
    <n v="0"/>
    <s v=""/>
  </r>
  <r>
    <s v="P049"/>
    <s v="Twitter"/>
    <d v="2024-06-10T00:00:00"/>
    <s v="Story"/>
    <s v="Check out our latest story on twitter!"/>
    <n v="2164"/>
    <n v="549"/>
    <n v="274"/>
    <n v="28132"/>
    <n v="3164"/>
    <n v="27361"/>
    <n v="177"/>
    <s v="TeslaCoInnovation"/>
    <m/>
    <m/>
    <x v="3"/>
    <n v="0"/>
    <n v="0"/>
    <n v="0"/>
    <s v=""/>
  </r>
  <r>
    <s v="P050"/>
    <s v="YouTube"/>
    <d v="2024-07-03T00:00:00"/>
    <s v="Story"/>
    <s v="Check out our latest story on youtube!"/>
    <n v="2754"/>
    <n v="130"/>
    <n v="90"/>
    <n v="22032"/>
    <n v="3086"/>
    <n v="21288"/>
    <n v="112"/>
    <s v="TeslaCoInnovation"/>
    <m/>
    <m/>
    <x v="2"/>
    <n v="0"/>
    <n v="0"/>
    <n v="0"/>
    <s v=""/>
  </r>
  <r>
    <s v="P051"/>
    <s v="Facebook"/>
    <d v="2024-06-13T00:00:00"/>
    <s v="Carousel"/>
    <s v="Check out our latest carousel on facebook!"/>
    <n v="2200"/>
    <n v="504"/>
    <n v="239"/>
    <n v="37400"/>
    <n v="3168"/>
    <n v="36938"/>
    <n v="225"/>
    <s v="FutureOfDriving"/>
    <m/>
    <m/>
    <x v="1"/>
    <n v="0"/>
    <n v="0"/>
    <n v="0"/>
    <s v=""/>
  </r>
  <r>
    <s v="P052"/>
    <s v="Facebook"/>
    <d v="2025-01-03T00:00:00"/>
    <s v="Image"/>
    <s v="Check out our latest image on facebook!"/>
    <n v="947"/>
    <n v="338"/>
    <n v="350"/>
    <n v="10417"/>
    <n v="1669"/>
    <n v="9730"/>
    <n v="34"/>
    <s v="TeslaCoInnovation"/>
    <m/>
    <m/>
    <x v="3"/>
    <n v="0"/>
    <n v="0"/>
    <n v="0"/>
    <s v=""/>
  </r>
  <r>
    <s v="P053"/>
    <s v="YouTube"/>
    <d v="2025-02-24T00:00:00"/>
    <s v="Carousel"/>
    <s v="Check out our latest carousel on youtube!"/>
    <n v="804"/>
    <n v="639"/>
    <n v="43"/>
    <n v="4020"/>
    <n v="1497"/>
    <n v="3144"/>
    <n v="11"/>
    <s v="EVRevolution"/>
    <s v="BetterWithTesla"/>
    <m/>
    <x v="4"/>
    <n v="150000"/>
    <n v="180000"/>
    <n v="0"/>
    <n v="4.5363636363636361E-3"/>
  </r>
  <r>
    <s v="P054"/>
    <s v="YouTube"/>
    <d v="2025-03-13T00:00:00"/>
    <s v="Carousel"/>
    <s v="Check out our latest carousel on youtube!"/>
    <n v="1686"/>
    <n v="904"/>
    <n v="472"/>
    <n v="18546"/>
    <n v="3114"/>
    <n v="18171"/>
    <n v="52"/>
    <s v="FutureOfDriving"/>
    <m/>
    <m/>
    <x v="1"/>
    <n v="0"/>
    <n v="0"/>
    <n v="0"/>
    <s v=""/>
  </r>
  <r>
    <s v="P055"/>
    <s v="Facebook"/>
    <d v="2024-06-17T00:00:00"/>
    <s v="Image"/>
    <s v="Check out our latest image on facebook!"/>
    <n v="1226"/>
    <n v="119"/>
    <n v="7"/>
    <n v="14712"/>
    <n v="1475"/>
    <n v="14049"/>
    <n v="123"/>
    <s v="EVRevolution"/>
    <m/>
    <m/>
    <x v="3"/>
    <n v="150000"/>
    <n v="0"/>
    <n v="0"/>
    <n v="9.8333333333333328E-3"/>
  </r>
  <r>
    <s v="P056"/>
    <s v="Facebook"/>
    <d v="2024-12-18T00:00:00"/>
    <s v="Carousel"/>
    <s v="Check out our latest carousel on facebook!"/>
    <n v="2946"/>
    <n v="498"/>
    <n v="367"/>
    <n v="29460"/>
    <n v="3871"/>
    <n v="28527"/>
    <n v="60"/>
    <s v="FutureOfDriving"/>
    <m/>
    <m/>
    <x v="2"/>
    <n v="0"/>
    <n v="0"/>
    <n v="0"/>
    <s v=""/>
  </r>
  <r>
    <s v="P057"/>
    <s v="Twitter"/>
    <d v="2024-10-21T00:00:00"/>
    <s v="Video"/>
    <s v="Check out our latest video on twitter!"/>
    <n v="2825"/>
    <n v="535"/>
    <n v="295"/>
    <n v="45200"/>
    <n v="3824"/>
    <n v="44739"/>
    <n v="169"/>
    <s v="TeslaCoInnovation"/>
    <m/>
    <m/>
    <x v="0"/>
    <n v="0"/>
    <n v="0"/>
    <n v="0"/>
    <s v=""/>
  </r>
  <r>
    <s v="P058"/>
    <s v="Instagram"/>
    <d v="2025-04-15T00:00:00"/>
    <s v="Reel"/>
    <s v="Check out our latest reel on instagram!"/>
    <n v="103"/>
    <n v="770"/>
    <n v="19"/>
    <n v="1030"/>
    <n v="1154"/>
    <n v="410"/>
    <n v="262"/>
    <s v="TeslaCoInnovation"/>
    <m/>
    <m/>
    <x v="3"/>
    <n v="0"/>
    <n v="0"/>
    <n v="0"/>
    <s v=""/>
  </r>
  <r>
    <s v="P059"/>
    <s v="Instagram"/>
    <d v="2024-06-22T00:00:00"/>
    <s v="Text"/>
    <s v="Check out our latest text on instagram!"/>
    <n v="2180"/>
    <n v="263"/>
    <n v="387"/>
    <n v="30520"/>
    <n v="3004"/>
    <n v="30059"/>
    <n v="174"/>
    <s v="EVRevolution"/>
    <m/>
    <m/>
    <x v="4"/>
    <n v="150000"/>
    <n v="0"/>
    <n v="0"/>
    <n v="2.0026666666666668E-2"/>
  </r>
  <r>
    <s v="P060"/>
    <s v="Instagram"/>
    <d v="2025-01-28T00:00:00"/>
    <s v="Video"/>
    <s v="Check out our latest video on instagram!"/>
    <n v="904"/>
    <n v="973"/>
    <n v="63"/>
    <n v="11752"/>
    <n v="2024"/>
    <n v="11580"/>
    <n v="84"/>
    <s v="EVRevolution"/>
    <s v="TeslaCoInnovation"/>
    <s v="AnytimeIsTeslaTime"/>
    <x v="2"/>
    <n v="150000"/>
    <n v="0"/>
    <n v="200000"/>
    <n v="5.7828571428571425E-3"/>
  </r>
  <r>
    <s v="P061"/>
    <s v="Twitter"/>
    <d v="2024-09-05T00:00:00"/>
    <s v="Video"/>
    <s v="Check out our latest video on twitter!"/>
    <n v="4886"/>
    <n v="983"/>
    <n v="409"/>
    <n v="43974"/>
    <n v="6343"/>
    <n v="43239"/>
    <n v="65"/>
    <s v="TeslaCoInnovation"/>
    <m/>
    <m/>
    <x v="0"/>
    <n v="0"/>
    <n v="0"/>
    <n v="0"/>
    <s v=""/>
  </r>
  <r>
    <s v="P062"/>
    <s v="Twitter"/>
    <d v="2024-11-22T00:00:00"/>
    <s v="Carousel"/>
    <s v="Check out our latest carousel on twitter!"/>
    <n v="53"/>
    <n v="81"/>
    <n v="379"/>
    <n v="954"/>
    <n v="661"/>
    <n v="7"/>
    <n v="148"/>
    <s v="TeslaCoInnovation"/>
    <m/>
    <m/>
    <x v="2"/>
    <n v="0"/>
    <n v="0"/>
    <n v="0"/>
    <s v=""/>
  </r>
  <r>
    <s v="P063"/>
    <s v="Twitter"/>
    <d v="2024-07-31T00:00:00"/>
    <s v="Carousel"/>
    <s v="Check out our latest carousel on twitter!"/>
    <n v="4507"/>
    <n v="217"/>
    <n v="13"/>
    <n v="90140"/>
    <n v="4862"/>
    <n v="89591"/>
    <n v="125"/>
    <s v="FutureOfDriving"/>
    <m/>
    <m/>
    <x v="2"/>
    <n v="0"/>
    <n v="0"/>
    <n v="0"/>
    <s v=""/>
  </r>
  <r>
    <s v="P064"/>
    <s v="Facebook"/>
    <d v="2024-08-17T00:00:00"/>
    <s v="Image"/>
    <s v="Check out our latest image on facebook!"/>
    <n v="2878"/>
    <n v="248"/>
    <n v="416"/>
    <n v="43170"/>
    <n v="3617"/>
    <n v="42667"/>
    <n v="75"/>
    <s v="FutureOfDriving"/>
    <m/>
    <m/>
    <x v="2"/>
    <n v="0"/>
    <n v="0"/>
    <n v="0"/>
    <s v=""/>
  </r>
  <r>
    <s v="P065"/>
    <s v="Instagram"/>
    <d v="2025-03-28T00:00:00"/>
    <s v="Story"/>
    <s v="Check out our latest story on instagram!"/>
    <n v="1881"/>
    <n v="501"/>
    <n v="99"/>
    <n v="20691"/>
    <n v="2770"/>
    <n v="19987"/>
    <n v="289"/>
    <s v="EVRevolution"/>
    <m/>
    <m/>
    <x v="4"/>
    <n v="150000"/>
    <n v="0"/>
    <n v="0"/>
    <n v="1.8466666666666666E-2"/>
  </r>
  <r>
    <s v="P066"/>
    <s v="Twitter"/>
    <d v="2024-07-26T00:00:00"/>
    <s v="Carousel"/>
    <s v="Check out our latest carousel on twitter!"/>
    <n v="432"/>
    <n v="171"/>
    <n v="280"/>
    <n v="3024"/>
    <n v="1067"/>
    <n v="2285"/>
    <n v="184"/>
    <s v="EVRevolution"/>
    <m/>
    <m/>
    <x v="0"/>
    <n v="150000"/>
    <n v="0"/>
    <n v="0"/>
    <n v="7.1133333333333335E-3"/>
  </r>
  <r>
    <s v="P067"/>
    <s v="Facebook"/>
    <d v="2025-03-29T00:00:00"/>
    <s v="Carousel"/>
    <s v="Check out our latest carousel on facebook!"/>
    <n v="4712"/>
    <n v="568"/>
    <n v="127"/>
    <n v="84816"/>
    <n v="5507"/>
    <n v="84691"/>
    <n v="100"/>
    <s v="EVRevolution"/>
    <m/>
    <m/>
    <x v="2"/>
    <n v="150000"/>
    <n v="0"/>
    <n v="0"/>
    <n v="3.6713333333333334E-2"/>
  </r>
  <r>
    <s v="P068"/>
    <s v="Instagram"/>
    <d v="2024-12-08T00:00:00"/>
    <s v="Story"/>
    <s v="Check out our latest story on instagram!"/>
    <n v="2610"/>
    <n v="126"/>
    <n v="288"/>
    <n v="15660"/>
    <n v="3097"/>
    <n v="15145"/>
    <n v="73"/>
    <s v="EVRevolution"/>
    <m/>
    <m/>
    <x v="4"/>
    <n v="150000"/>
    <n v="0"/>
    <n v="0"/>
    <n v="2.0646666666666667E-2"/>
  </r>
  <r>
    <s v="P069"/>
    <s v="Twitter"/>
    <d v="2025-03-08T00:00:00"/>
    <s v="Text"/>
    <s v="Check out our latest text on twitter!"/>
    <n v="1292"/>
    <n v="626"/>
    <n v="496"/>
    <n v="25840"/>
    <n v="2563"/>
    <n v="24916"/>
    <n v="149"/>
    <s v="FutureOfDriving"/>
    <m/>
    <m/>
    <x v="2"/>
    <n v="0"/>
    <n v="0"/>
    <n v="0"/>
    <s v=""/>
  </r>
  <r>
    <s v="P070"/>
    <s v="Facebook"/>
    <d v="2025-04-02T00:00:00"/>
    <s v="Video"/>
    <s v="Check out our latest video on facebook!"/>
    <n v="199"/>
    <n v="772"/>
    <n v="400"/>
    <n v="3582"/>
    <n v="1414"/>
    <n v="2988"/>
    <n v="43"/>
    <s v="TeslaCoInnovation"/>
    <m/>
    <m/>
    <x v="4"/>
    <n v="0"/>
    <n v="0"/>
    <n v="0"/>
    <s v=""/>
  </r>
  <r>
    <s v="P071"/>
    <s v="YouTube"/>
    <d v="2024-09-02T00:00:00"/>
    <s v="Carousel"/>
    <s v="Check out our latest carousel on youtube!"/>
    <n v="2551"/>
    <n v="915"/>
    <n v="205"/>
    <n v="30612"/>
    <n v="3898"/>
    <n v="30360"/>
    <n v="227"/>
    <s v="TeslaCoInnovation"/>
    <m/>
    <m/>
    <x v="1"/>
    <n v="0"/>
    <n v="0"/>
    <n v="0"/>
    <s v=""/>
  </r>
  <r>
    <s v="P072"/>
    <s v="YouTube"/>
    <d v="2025-03-03T00:00:00"/>
    <s v="Reel"/>
    <s v="Check out our latest reel on youtube!"/>
    <n v="296"/>
    <n v="60"/>
    <n v="141"/>
    <n v="5624"/>
    <n v="585"/>
    <n v="5239"/>
    <n v="88"/>
    <s v="EVRevolution"/>
    <m/>
    <m/>
    <x v="1"/>
    <n v="150000"/>
    <n v="0"/>
    <n v="0"/>
    <n v="3.8999999999999998E-3"/>
  </r>
  <r>
    <s v="P073"/>
    <s v="Facebook"/>
    <d v="2024-10-18T00:00:00"/>
    <s v="Story"/>
    <s v="Check out our latest story on facebook!"/>
    <n v="4126"/>
    <n v="426"/>
    <n v="486"/>
    <n v="78394"/>
    <n v="5126"/>
    <n v="77798"/>
    <n v="88"/>
    <s v="FutureOfDriving"/>
    <m/>
    <m/>
    <x v="3"/>
    <n v="0"/>
    <n v="0"/>
    <n v="0"/>
    <s v=""/>
  </r>
  <r>
    <s v="P074"/>
    <s v="YouTube"/>
    <d v="2024-10-28T00:00:00"/>
    <s v="Reel"/>
    <s v="Check out our latest reel on youtube!"/>
    <n v="1855"/>
    <n v="200"/>
    <n v="174"/>
    <n v="16695"/>
    <n v="2352"/>
    <n v="16330"/>
    <n v="123"/>
    <s v="TeslaCoInnovation"/>
    <m/>
    <m/>
    <x v="2"/>
    <n v="0"/>
    <n v="0"/>
    <n v="0"/>
    <s v=""/>
  </r>
  <r>
    <s v="P075"/>
    <s v="Instagram"/>
    <d v="2024-08-01T00:00:00"/>
    <s v="Reel"/>
    <s v="Check out our latest reel on instagram!"/>
    <n v="1674"/>
    <n v="929"/>
    <n v="37"/>
    <n v="21762"/>
    <n v="2895"/>
    <n v="20998"/>
    <n v="255"/>
    <s v="TeslaCoInnovation"/>
    <m/>
    <m/>
    <x v="3"/>
    <n v="0"/>
    <n v="0"/>
    <n v="0"/>
    <s v=""/>
  </r>
  <r>
    <s v="P076"/>
    <s v="Twitter"/>
    <d v="2024-11-07T00:00:00"/>
    <s v="Story"/>
    <s v="Check out our latest story on twitter!"/>
    <n v="1121"/>
    <n v="135"/>
    <n v="18"/>
    <n v="15694"/>
    <n v="1373"/>
    <n v="14957"/>
    <n v="99"/>
    <s v="TeslaCoInnovation"/>
    <m/>
    <m/>
    <x v="3"/>
    <n v="0"/>
    <n v="0"/>
    <n v="0"/>
    <s v=""/>
  </r>
  <r>
    <s v="P077"/>
    <s v="Facebook"/>
    <d v="2025-03-04T00:00:00"/>
    <s v="Story"/>
    <s v="Check out our latest story on facebook!"/>
    <n v="1249"/>
    <n v="116"/>
    <n v="420"/>
    <n v="8743"/>
    <n v="1848"/>
    <n v="8538"/>
    <n v="63"/>
    <s v="TeslaCoInnovation"/>
    <m/>
    <m/>
    <x v="4"/>
    <n v="0"/>
    <n v="0"/>
    <n v="0"/>
    <s v=""/>
  </r>
  <r>
    <s v="P078"/>
    <s v="Twitter"/>
    <d v="2024-06-17T00:00:00"/>
    <s v="Image"/>
    <s v="Check out our latest image on twitter!"/>
    <n v="954"/>
    <n v="324"/>
    <n v="288"/>
    <n v="19080"/>
    <n v="1587"/>
    <n v="18859"/>
    <n v="21"/>
    <s v="FutureOfDriving"/>
    <m/>
    <m/>
    <x v="3"/>
    <n v="0"/>
    <n v="0"/>
    <n v="0"/>
    <s v=""/>
  </r>
  <r>
    <s v="P079"/>
    <s v="Instagram"/>
    <d v="2024-10-09T00:00:00"/>
    <s v="Carousel"/>
    <s v="Check out our latest carousel on instagram!"/>
    <n v="3068"/>
    <n v="137"/>
    <n v="329"/>
    <n v="39884"/>
    <n v="3800"/>
    <n v="39404"/>
    <n v="266"/>
    <s v="EVRevolution"/>
    <m/>
    <m/>
    <x v="1"/>
    <n v="150000"/>
    <n v="0"/>
    <n v="0"/>
    <n v="2.5333333333333333E-2"/>
  </r>
  <r>
    <s v="P080"/>
    <s v="Instagram"/>
    <d v="2024-06-13T00:00:00"/>
    <s v="Story"/>
    <s v="Check out our latest story on instagram!"/>
    <n v="2103"/>
    <n v="892"/>
    <n v="103"/>
    <n v="39957"/>
    <n v="3126"/>
    <n v="39466"/>
    <n v="28"/>
    <s v="FutureOfDriving"/>
    <m/>
    <m/>
    <x v="4"/>
    <n v="0"/>
    <n v="0"/>
    <n v="0"/>
    <s v=""/>
  </r>
  <r>
    <s v="P081"/>
    <s v="Instagram"/>
    <d v="2024-10-19T00:00:00"/>
    <s v="Story"/>
    <s v="Check out our latest story on instagram!"/>
    <n v="1816"/>
    <n v="29"/>
    <n v="41"/>
    <n v="19976"/>
    <n v="2169"/>
    <n v="19262"/>
    <n v="283"/>
    <s v="TeslaCoInnovation"/>
    <m/>
    <m/>
    <x v="2"/>
    <n v="0"/>
    <n v="0"/>
    <n v="0"/>
    <s v=""/>
  </r>
  <r>
    <s v="P082"/>
    <s v="Instagram"/>
    <d v="2024-07-24T00:00:00"/>
    <s v="Image"/>
    <s v="Check out our latest image on instagram!"/>
    <n v="725"/>
    <n v="88"/>
    <n v="428"/>
    <n v="14500"/>
    <n v="1441"/>
    <n v="13637"/>
    <n v="200"/>
    <s v="FutureOfDriving"/>
    <s v="TeslaCoInnovation"/>
    <s v="AnytimeIsTeslaTime"/>
    <x v="2"/>
    <n v="0"/>
    <n v="0"/>
    <n v="200000"/>
    <n v="7.2049999999999996E-3"/>
  </r>
  <r>
    <s v="P083"/>
    <s v="YouTube"/>
    <d v="2024-10-15T00:00:00"/>
    <s v="Video"/>
    <s v="Check out our latest video on youtube!"/>
    <n v="1094"/>
    <n v="472"/>
    <n v="21"/>
    <n v="9846"/>
    <n v="1699"/>
    <n v="9609"/>
    <n v="112"/>
    <s v="EVRevolution"/>
    <m/>
    <m/>
    <x v="4"/>
    <n v="150000"/>
    <n v="0"/>
    <n v="0"/>
    <n v="1.1326666666666667E-2"/>
  </r>
  <r>
    <s v="P084"/>
    <s v="Facebook"/>
    <d v="2024-12-09T00:00:00"/>
    <s v="Image"/>
    <s v="Check out our latest image on facebook!"/>
    <n v="1841"/>
    <n v="851"/>
    <n v="342"/>
    <n v="34979"/>
    <n v="3289"/>
    <n v="34154"/>
    <n v="255"/>
    <s v="FutureOfDriving"/>
    <m/>
    <m/>
    <x v="3"/>
    <n v="0"/>
    <n v="0"/>
    <n v="0"/>
    <s v=""/>
  </r>
  <r>
    <s v="P085"/>
    <s v="Instagram"/>
    <d v="2025-04-19T00:00:00"/>
    <s v="Image"/>
    <s v="Check out our latest image on instagram!"/>
    <n v="4177"/>
    <n v="569"/>
    <n v="55"/>
    <n v="25062"/>
    <n v="5031"/>
    <n v="24847"/>
    <n v="230"/>
    <s v="FutureOfDriving"/>
    <m/>
    <m/>
    <x v="0"/>
    <n v="0"/>
    <n v="0"/>
    <n v="0"/>
    <s v=""/>
  </r>
  <r>
    <s v="P086"/>
    <s v="YouTube"/>
    <d v="2025-01-27T00:00:00"/>
    <s v="Text"/>
    <s v="Check out our latest text on youtube!"/>
    <n v="3428"/>
    <n v="305"/>
    <n v="85"/>
    <n v="58276"/>
    <n v="4060"/>
    <n v="58052"/>
    <n v="242"/>
    <s v="EVRevolution"/>
    <s v="BetterWithTesla"/>
    <m/>
    <x v="3"/>
    <n v="150000"/>
    <n v="180000"/>
    <n v="0"/>
    <n v="1.2303030303030303E-2"/>
  </r>
  <r>
    <s v="P087"/>
    <s v="Twitter"/>
    <d v="2024-06-06T00:00:00"/>
    <s v="Video"/>
    <s v="Check out our latest video on twitter!"/>
    <n v="1436"/>
    <n v="765"/>
    <n v="496"/>
    <n v="12924"/>
    <n v="2894"/>
    <n v="12701"/>
    <n v="197"/>
    <s v="FutureOfDriving"/>
    <m/>
    <m/>
    <x v="2"/>
    <n v="0"/>
    <n v="0"/>
    <n v="0"/>
    <s v=""/>
  </r>
  <r>
    <s v="P088"/>
    <s v="Facebook"/>
    <d v="2024-07-07T00:00:00"/>
    <s v="Story"/>
    <s v="Check out our latest story on facebook!"/>
    <n v="302"/>
    <n v="47"/>
    <n v="430"/>
    <n v="5738"/>
    <n v="804"/>
    <n v="4890"/>
    <n v="25"/>
    <s v="TeslaCoInnovation"/>
    <m/>
    <m/>
    <x v="3"/>
    <n v="0"/>
    <n v="0"/>
    <n v="0"/>
    <s v=""/>
  </r>
  <r>
    <s v="P089"/>
    <s v="Twitter"/>
    <d v="2025-01-10T00:00:00"/>
    <s v="Image"/>
    <s v="Check out our latest image on twitter!"/>
    <n v="2214"/>
    <n v="249"/>
    <n v="152"/>
    <n v="15498"/>
    <n v="2795"/>
    <n v="14800"/>
    <n v="180"/>
    <s v="EVRevolution"/>
    <m/>
    <m/>
    <x v="4"/>
    <n v="150000"/>
    <n v="0"/>
    <n v="0"/>
    <n v="1.8633333333333332E-2"/>
  </r>
  <r>
    <s v="P090"/>
    <s v="Instagram"/>
    <d v="2024-06-03T00:00:00"/>
    <s v="Image"/>
    <s v="Check out our latest image on instagram!"/>
    <n v="3861"/>
    <n v="960"/>
    <n v="101"/>
    <n v="69498"/>
    <n v="5219"/>
    <n v="68817"/>
    <n v="297"/>
    <s v="TeslaCoInnovation"/>
    <m/>
    <m/>
    <x v="3"/>
    <n v="0"/>
    <n v="0"/>
    <n v="0"/>
    <s v=""/>
  </r>
  <r>
    <s v="P091"/>
    <s v="Facebook"/>
    <d v="2025-03-24T00:00:00"/>
    <s v="Image"/>
    <s v="Check out our latest image on facebook!"/>
    <n v="1263"/>
    <n v="397"/>
    <n v="357"/>
    <n v="25260"/>
    <n v="2154"/>
    <n v="24615"/>
    <n v="137"/>
    <s v="EVRevolution"/>
    <m/>
    <m/>
    <x v="3"/>
    <n v="150000"/>
    <n v="0"/>
    <n v="0"/>
    <n v="1.436E-2"/>
  </r>
  <r>
    <s v="P092"/>
    <s v="Twitter"/>
    <d v="2024-10-21T00:00:00"/>
    <s v="Story"/>
    <s v="Check out our latest story on twitter!"/>
    <n v="3801"/>
    <n v="967"/>
    <n v="401"/>
    <n v="38010"/>
    <n v="5405"/>
    <n v="37625"/>
    <n v="236"/>
    <s v="FutureOfDriving"/>
    <m/>
    <m/>
    <x v="2"/>
    <n v="0"/>
    <n v="0"/>
    <n v="0"/>
    <s v=""/>
  </r>
  <r>
    <s v="P093"/>
    <s v="Instagram"/>
    <d v="2024-12-11T00:00:00"/>
    <s v="Video"/>
    <s v="Check out our latest video on instagram!"/>
    <n v="1431"/>
    <n v="951"/>
    <n v="26"/>
    <n v="8586"/>
    <n v="2558"/>
    <n v="8396"/>
    <n v="150"/>
    <s v="EVRevolution"/>
    <m/>
    <m/>
    <x v="2"/>
    <n v="150000"/>
    <n v="0"/>
    <n v="0"/>
    <n v="1.7053333333333334E-2"/>
  </r>
  <r>
    <s v="P094"/>
    <s v="Instagram"/>
    <d v="2024-11-07T00:00:00"/>
    <s v="Image"/>
    <s v="Check out our latest image on instagram!"/>
    <n v="2647"/>
    <n v="304"/>
    <n v="170"/>
    <n v="18529"/>
    <n v="3167"/>
    <n v="17841"/>
    <n v="46"/>
    <s v="FutureOfDriving"/>
    <m/>
    <m/>
    <x v="2"/>
    <n v="0"/>
    <n v="0"/>
    <n v="0"/>
    <s v=""/>
  </r>
  <r>
    <s v="P095"/>
    <s v="Instagram"/>
    <d v="2024-11-08T00:00:00"/>
    <s v="Text"/>
    <s v="Check out our latest text on instagram!"/>
    <n v="3182"/>
    <n v="559"/>
    <n v="160"/>
    <n v="57276"/>
    <n v="4064"/>
    <n v="56890"/>
    <n v="163"/>
    <s v="FutureOfDriving"/>
    <m/>
    <m/>
    <x v="3"/>
    <n v="0"/>
    <n v="0"/>
    <n v="0"/>
    <s v=""/>
  </r>
  <r>
    <s v="P096"/>
    <s v="Twitter"/>
    <d v="2024-09-10T00:00:00"/>
    <s v="Image"/>
    <s v="Check out our latest image on twitter!"/>
    <n v="1238"/>
    <n v="366"/>
    <n v="444"/>
    <n v="19808"/>
    <n v="2171"/>
    <n v="19334"/>
    <n v="123"/>
    <s v="FutureOfDriving"/>
    <m/>
    <m/>
    <x v="4"/>
    <n v="0"/>
    <n v="0"/>
    <n v="0"/>
    <s v=""/>
  </r>
  <r>
    <s v="P097"/>
    <s v="Instagram"/>
    <d v="2024-08-13T00:00:00"/>
    <s v="Image"/>
    <s v="Check out our latest image on instagram!"/>
    <n v="4739"/>
    <n v="527"/>
    <n v="135"/>
    <n v="61607"/>
    <n v="5437"/>
    <n v="61333"/>
    <n v="36"/>
    <s v="TeslaCoInnovation"/>
    <s v="AnytimeIsTeslaTime"/>
    <m/>
    <x v="1"/>
    <n v="0"/>
    <n v="200000"/>
    <n v="0"/>
    <n v="2.7185000000000001E-2"/>
  </r>
  <r>
    <s v="P098"/>
    <s v="Twitter"/>
    <d v="2024-06-10T00:00:00"/>
    <s v="Story"/>
    <s v="Check out our latest story on twitter!"/>
    <n v="1575"/>
    <n v="771"/>
    <n v="486"/>
    <n v="25200"/>
    <n v="2849"/>
    <n v="24826"/>
    <n v="17"/>
    <s v="FutureOfDriving"/>
    <m/>
    <m/>
    <x v="3"/>
    <n v="0"/>
    <n v="0"/>
    <n v="0"/>
    <s v=""/>
  </r>
  <r>
    <s v="P099"/>
    <s v="YouTube"/>
    <d v="2024-07-02T00:00:00"/>
    <s v="Carousel"/>
    <s v="Check out our latest carousel on youtube!"/>
    <n v="4171"/>
    <n v="548"/>
    <n v="86"/>
    <n v="66736"/>
    <n v="4978"/>
    <n v="66634"/>
    <n v="173"/>
    <s v="FutureOfDriving"/>
    <m/>
    <m/>
    <x v="2"/>
    <n v="0"/>
    <n v="0"/>
    <n v="0"/>
    <s v=""/>
  </r>
  <r>
    <s v="P100"/>
    <s v="YouTube"/>
    <d v="2025-02-10T00:00:00"/>
    <s v="Video"/>
    <s v="Check out our latest video on youtube!"/>
    <n v="1766"/>
    <n v="92"/>
    <n v="424"/>
    <n v="24724"/>
    <n v="2334"/>
    <n v="24333"/>
    <n v="52"/>
    <s v="EVRevolution"/>
    <m/>
    <m/>
    <x v="4"/>
    <n v="150000"/>
    <n v="0"/>
    <n v="0"/>
    <n v="1.5559999999999999E-2"/>
  </r>
  <r>
    <s v="P101"/>
    <s v="YouTube"/>
    <d v="2024-10-18T00:00:00"/>
    <s v="Video"/>
    <s v="Check out our latest video on youtube!"/>
    <n v="4450"/>
    <n v="983"/>
    <n v="143"/>
    <n v="75650"/>
    <n v="5588"/>
    <n v="75008"/>
    <n v="12"/>
    <s v="FutureOfDriving"/>
    <m/>
    <m/>
    <x v="2"/>
    <n v="0"/>
    <n v="0"/>
    <n v="0"/>
    <s v=""/>
  </r>
  <r>
    <s v="P102"/>
    <s v="Twitter"/>
    <d v="2024-09-18T00:00:00"/>
    <s v="Reel"/>
    <s v="Check out our latest reel on twitter!"/>
    <n v="1000"/>
    <n v="978"/>
    <n v="162"/>
    <n v="6000"/>
    <n v="2363"/>
    <n v="5221"/>
    <n v="223"/>
    <s v="EVRevolution"/>
    <m/>
    <m/>
    <x v="1"/>
    <n v="150000"/>
    <n v="0"/>
    <n v="0"/>
    <n v="1.5753333333333334E-2"/>
  </r>
  <r>
    <s v="P103"/>
    <s v="Facebook"/>
    <d v="2024-06-11T00:00:00"/>
    <s v="Image"/>
    <s v="Check out our latest image on facebook!"/>
    <n v="3689"/>
    <n v="48"/>
    <n v="306"/>
    <n v="40579"/>
    <n v="4255"/>
    <n v="39588"/>
    <n v="212"/>
    <s v="EVRevolution"/>
    <m/>
    <m/>
    <x v="1"/>
    <n v="150000"/>
    <n v="0"/>
    <n v="0"/>
    <n v="2.8366666666666665E-2"/>
  </r>
  <r>
    <s v="P104"/>
    <s v="YouTube"/>
    <d v="2025-03-23T00:00:00"/>
    <s v="Story"/>
    <s v="Check out our latest story on youtube!"/>
    <n v="3655"/>
    <n v="568"/>
    <n v="286"/>
    <n v="32895"/>
    <n v="4708"/>
    <n v="32015"/>
    <n v="199"/>
    <s v="TeslaCoInnovation"/>
    <m/>
    <m/>
    <x v="2"/>
    <n v="0"/>
    <n v="0"/>
    <n v="0"/>
    <s v=""/>
  </r>
  <r>
    <s v="P105"/>
    <s v="Instagram"/>
    <d v="2024-06-14T00:00:00"/>
    <s v="Carousel"/>
    <s v="Check out our latest carousel on instagram!"/>
    <n v="498"/>
    <n v="38"/>
    <n v="42"/>
    <n v="4482"/>
    <n v="610"/>
    <n v="3647"/>
    <n v="32"/>
    <s v="FutureOfDriving"/>
    <m/>
    <m/>
    <x v="0"/>
    <n v="0"/>
    <n v="0"/>
    <n v="0"/>
    <s v=""/>
  </r>
  <r>
    <s v="P106"/>
    <s v="Instagram"/>
    <d v="2025-02-04T00:00:00"/>
    <s v="Image"/>
    <s v="Check out our latest image on instagram!"/>
    <n v="4619"/>
    <n v="821"/>
    <n v="499"/>
    <n v="69285"/>
    <n v="6237"/>
    <n v="69141"/>
    <n v="298"/>
    <s v="TeslaCoInnovation"/>
    <m/>
    <m/>
    <x v="3"/>
    <n v="0"/>
    <n v="0"/>
    <n v="0"/>
    <s v=""/>
  </r>
  <r>
    <s v="P107"/>
    <s v="YouTube"/>
    <d v="2024-06-21T00:00:00"/>
    <s v="Image"/>
    <s v="Check out our latest image on youtube!"/>
    <n v="4832"/>
    <n v="893"/>
    <n v="10"/>
    <n v="91808"/>
    <n v="5917"/>
    <n v="91296"/>
    <n v="182"/>
    <s v="TeslaCoInnovation"/>
    <m/>
    <m/>
    <x v="4"/>
    <n v="0"/>
    <n v="0"/>
    <n v="0"/>
    <s v=""/>
  </r>
  <r>
    <s v="P108"/>
    <s v="Twitter"/>
    <d v="2025-03-25T00:00:00"/>
    <s v="Video"/>
    <s v="Check out our latest video on twitter!"/>
    <n v="4050"/>
    <n v="871"/>
    <n v="347"/>
    <n v="52650"/>
    <n v="5477"/>
    <n v="51755"/>
    <n v="209"/>
    <s v="TeslaCoInnovation"/>
    <m/>
    <m/>
    <x v="1"/>
    <n v="0"/>
    <n v="0"/>
    <n v="0"/>
    <s v=""/>
  </r>
  <r>
    <s v="P109"/>
    <s v="Twitter"/>
    <d v="2024-08-08T00:00:00"/>
    <s v="Story"/>
    <s v="Check out our latest story on twitter!"/>
    <n v="3649"/>
    <n v="215"/>
    <n v="413"/>
    <n v="25543"/>
    <n v="4444"/>
    <n v="24963"/>
    <n v="167"/>
    <s v="FutureOfDriving"/>
    <m/>
    <m/>
    <x v="2"/>
    <n v="0"/>
    <n v="0"/>
    <n v="0"/>
    <s v=""/>
  </r>
  <r>
    <s v="P110"/>
    <s v="Instagram"/>
    <d v="2024-07-29T00:00:00"/>
    <s v="Reel"/>
    <s v="Check out our latest reel on instagram!"/>
    <n v="3523"/>
    <n v="753"/>
    <n v="482"/>
    <n v="38753"/>
    <n v="5028"/>
    <n v="38579"/>
    <n v="270"/>
    <s v="EVRevolution"/>
    <m/>
    <m/>
    <x v="1"/>
    <n v="150000"/>
    <n v="0"/>
    <n v="0"/>
    <n v="3.3520000000000001E-2"/>
  </r>
  <r>
    <s v="P111"/>
    <s v="YouTube"/>
    <d v="2024-11-23T00:00:00"/>
    <s v="Image"/>
    <s v="Check out our latest image on youtube!"/>
    <n v="2719"/>
    <n v="17"/>
    <n v="285"/>
    <n v="40785"/>
    <n v="3061"/>
    <n v="40281"/>
    <n v="40"/>
    <s v="TeslaCoInnovation"/>
    <m/>
    <m/>
    <x v="1"/>
    <n v="0"/>
    <n v="0"/>
    <n v="0"/>
    <s v=""/>
  </r>
  <r>
    <s v="P112"/>
    <s v="Twitter"/>
    <d v="2024-10-05T00:00:00"/>
    <s v="Story"/>
    <s v="Check out our latest story on twitter!"/>
    <n v="1957"/>
    <n v="877"/>
    <n v="238"/>
    <n v="17613"/>
    <n v="3369"/>
    <n v="16865"/>
    <n v="297"/>
    <s v="FutureOfDriving"/>
    <m/>
    <m/>
    <x v="2"/>
    <n v="0"/>
    <n v="0"/>
    <n v="0"/>
    <s v=""/>
  </r>
  <r>
    <s v="P113"/>
    <s v="Twitter"/>
    <d v="2024-10-02T00:00:00"/>
    <s v="Carousel"/>
    <s v="Check out our latest carousel on twitter!"/>
    <n v="4419"/>
    <n v="236"/>
    <n v="369"/>
    <n v="44190"/>
    <n v="5034"/>
    <n v="43582"/>
    <n v="10"/>
    <s v="EVRevolution"/>
    <m/>
    <m/>
    <x v="0"/>
    <n v="150000"/>
    <n v="0"/>
    <n v="0"/>
    <n v="3.356E-2"/>
  </r>
  <r>
    <s v="P114"/>
    <s v="Twitter"/>
    <d v="2024-11-14T00:00:00"/>
    <s v="Story"/>
    <s v="Check out our latest story on twitter!"/>
    <n v="4000"/>
    <n v="689"/>
    <n v="488"/>
    <n v="40000"/>
    <n v="5221"/>
    <n v="39569"/>
    <n v="44"/>
    <s v="FutureOfDriving"/>
    <m/>
    <m/>
    <x v="0"/>
    <n v="0"/>
    <n v="0"/>
    <n v="0"/>
    <s v=""/>
  </r>
  <r>
    <s v="P115"/>
    <s v="Twitter"/>
    <d v="2025-05-11T00:00:00"/>
    <s v="Image"/>
    <s v="Check out our latest image on twitter!"/>
    <n v="2493"/>
    <n v="97"/>
    <n v="44"/>
    <n v="42381"/>
    <n v="2876"/>
    <n v="41991"/>
    <n v="242"/>
    <s v="TeslaCoInnovation"/>
    <s v="AnytimeIsTeslaTime"/>
    <m/>
    <x v="3"/>
    <n v="0"/>
    <n v="200000"/>
    <n v="0"/>
    <n v="1.438E-2"/>
  </r>
  <r>
    <s v="P116"/>
    <s v="YouTube"/>
    <d v="2025-03-18T00:00:00"/>
    <s v="Reel"/>
    <s v="Check out our latest reel on youtube!"/>
    <n v="3704"/>
    <n v="186"/>
    <n v="458"/>
    <n v="25928"/>
    <n v="4479"/>
    <n v="25081"/>
    <n v="131"/>
    <s v="TeslaCoInnovation"/>
    <m/>
    <m/>
    <x v="4"/>
    <n v="0"/>
    <n v="0"/>
    <n v="0"/>
    <s v=""/>
  </r>
  <r>
    <s v="P117"/>
    <s v="Twitter"/>
    <d v="2024-11-04T00:00:00"/>
    <s v="Image"/>
    <s v="Check out our latest image on twitter!"/>
    <n v="1606"/>
    <n v="451"/>
    <n v="405"/>
    <n v="20878"/>
    <n v="2681"/>
    <n v="20190"/>
    <n v="219"/>
    <s v="EVRevolution"/>
    <m/>
    <m/>
    <x v="3"/>
    <n v="150000"/>
    <n v="0"/>
    <n v="0"/>
    <n v="1.7873333333333335E-2"/>
  </r>
  <r>
    <s v="P118"/>
    <s v="Facebook"/>
    <d v="2024-11-04T00:00:00"/>
    <s v="Image"/>
    <s v="Check out our latest image on facebook!"/>
    <n v="4551"/>
    <n v="714"/>
    <n v="207"/>
    <n v="68265"/>
    <n v="5529"/>
    <n v="67754"/>
    <n v="57"/>
    <s v="FutureOfDriving"/>
    <m/>
    <m/>
    <x v="2"/>
    <n v="0"/>
    <n v="0"/>
    <n v="0"/>
    <s v=""/>
  </r>
  <r>
    <s v="P119"/>
    <s v="Instagram"/>
    <d v="2025-02-07T00:00:00"/>
    <s v="Reel"/>
    <s v="Check out our latest reel on instagram!"/>
    <n v="1970"/>
    <n v="675"/>
    <n v="478"/>
    <n v="9850"/>
    <n v="3240"/>
    <n v="8924"/>
    <n v="117"/>
    <s v="FutureOfDriving"/>
    <m/>
    <m/>
    <x v="4"/>
    <n v="0"/>
    <n v="0"/>
    <n v="0"/>
    <s v=""/>
  </r>
  <r>
    <s v="P120"/>
    <s v="Facebook"/>
    <d v="2024-10-21T00:00:00"/>
    <s v="Story"/>
    <s v="Check out our latest story on facebook!"/>
    <n v="780"/>
    <n v="928"/>
    <n v="301"/>
    <n v="8580"/>
    <n v="2100"/>
    <n v="8081"/>
    <n v="91"/>
    <s v="EVRevolution"/>
    <m/>
    <m/>
    <x v="2"/>
    <n v="150000"/>
    <n v="0"/>
    <n v="0"/>
    <n v="1.4E-2"/>
  </r>
  <r>
    <s v="P121"/>
    <s v="Instagram"/>
    <d v="2024-07-29T00:00:00"/>
    <s v="Story"/>
    <s v="Check out our latest story on instagram!"/>
    <n v="498"/>
    <n v="701"/>
    <n v="412"/>
    <n v="4980"/>
    <n v="1796"/>
    <n v="4185"/>
    <n v="185"/>
    <s v="FutureOfDriving"/>
    <m/>
    <m/>
    <x v="4"/>
    <n v="0"/>
    <n v="0"/>
    <n v="0"/>
    <s v=""/>
  </r>
  <r>
    <s v="P122"/>
    <s v="Instagram"/>
    <d v="2024-10-02T00:00:00"/>
    <s v="Text"/>
    <s v="Check out our latest text on instagram!"/>
    <n v="3432"/>
    <n v="869"/>
    <n v="123"/>
    <n v="54912"/>
    <n v="4688"/>
    <n v="53916"/>
    <n v="264"/>
    <s v="EVRevolution"/>
    <m/>
    <m/>
    <x v="1"/>
    <n v="150000"/>
    <n v="0"/>
    <n v="0"/>
    <n v="3.1253333333333334E-2"/>
  </r>
  <r>
    <s v="P123"/>
    <s v="Instagram"/>
    <d v="2024-06-14T00:00:00"/>
    <s v="Story"/>
    <s v="Check out our latest story on instagram!"/>
    <n v="4363"/>
    <n v="649"/>
    <n v="140"/>
    <n v="21815"/>
    <n v="5309"/>
    <n v="21481"/>
    <n v="157"/>
    <s v="EVRevolution"/>
    <m/>
    <m/>
    <x v="0"/>
    <n v="150000"/>
    <n v="0"/>
    <n v="0"/>
    <n v="3.5393333333333332E-2"/>
  </r>
  <r>
    <s v="P124"/>
    <s v="YouTube"/>
    <d v="2025-04-06T00:00:00"/>
    <s v="Carousel"/>
    <s v="Check out our latest carousel on youtube!"/>
    <n v="736"/>
    <n v="771"/>
    <n v="225"/>
    <n v="5152"/>
    <n v="1751"/>
    <n v="4706"/>
    <n v="19"/>
    <s v="EVRevolution"/>
    <m/>
    <m/>
    <x v="0"/>
    <n v="150000"/>
    <n v="0"/>
    <n v="0"/>
    <n v="1.1673333333333334E-2"/>
  </r>
  <r>
    <s v="P125"/>
    <s v="Twitter"/>
    <d v="2024-09-08T00:00:00"/>
    <s v="Carousel"/>
    <s v="Check out our latest carousel on twitter!"/>
    <n v="3811"/>
    <n v="866"/>
    <n v="216"/>
    <n v="34299"/>
    <n v="5126"/>
    <n v="34088"/>
    <n v="233"/>
    <s v="TeslaCoInnovation"/>
    <m/>
    <m/>
    <x v="3"/>
    <n v="0"/>
    <n v="0"/>
    <n v="0"/>
    <s v=""/>
  </r>
  <r>
    <s v="P126"/>
    <s v="Instagram"/>
    <d v="2025-03-28T00:00:00"/>
    <s v="Carousel"/>
    <s v="Check out our latest carousel on instagram!"/>
    <n v="4158"/>
    <n v="167"/>
    <n v="241"/>
    <n v="45738"/>
    <n v="4708"/>
    <n v="45183"/>
    <n v="142"/>
    <s v="FutureOfDriving"/>
    <m/>
    <m/>
    <x v="4"/>
    <n v="0"/>
    <n v="0"/>
    <n v="0"/>
    <s v=""/>
  </r>
  <r>
    <s v="P127"/>
    <s v="Facebook"/>
    <d v="2025-01-27T00:00:00"/>
    <s v="Reel"/>
    <s v="Check out our latest reel on facebook!"/>
    <n v="3452"/>
    <n v="652"/>
    <n v="442"/>
    <n v="65588"/>
    <n v="4704"/>
    <n v="65049"/>
    <n v="158"/>
    <s v="FutureOfDriving"/>
    <m/>
    <m/>
    <x v="2"/>
    <n v="0"/>
    <n v="0"/>
    <n v="0"/>
    <s v=""/>
  </r>
  <r>
    <s v="P128"/>
    <s v="Twitter"/>
    <d v="2025-01-10T00:00:00"/>
    <s v="Image"/>
    <s v="Check out our latest image on twitter!"/>
    <n v="3092"/>
    <n v="106"/>
    <n v="291"/>
    <n v="27828"/>
    <n v="3591"/>
    <n v="27217"/>
    <n v="102"/>
    <s v="FutureOfDriving"/>
    <m/>
    <m/>
    <x v="4"/>
    <n v="0"/>
    <n v="0"/>
    <n v="0"/>
    <s v=""/>
  </r>
  <r>
    <s v="P129"/>
    <s v="Twitter"/>
    <d v="2024-07-21T00:00:00"/>
    <s v="Text"/>
    <s v="Check out our latest text on twitter!"/>
    <n v="2147"/>
    <n v="430"/>
    <n v="393"/>
    <n v="17176"/>
    <n v="3140"/>
    <n v="16483"/>
    <n v="170"/>
    <s v="TeslaCoInnovation"/>
    <m/>
    <m/>
    <x v="4"/>
    <n v="0"/>
    <n v="0"/>
    <n v="0"/>
    <s v=""/>
  </r>
  <r>
    <s v="P130"/>
    <s v="YouTube"/>
    <d v="2024-09-29T00:00:00"/>
    <s v="Reel"/>
    <s v="Check out our latest reel on youtube!"/>
    <n v="2936"/>
    <n v="439"/>
    <n v="44"/>
    <n v="38168"/>
    <n v="3441"/>
    <n v="37571"/>
    <n v="22"/>
    <s v="EVRevolution"/>
    <m/>
    <m/>
    <x v="3"/>
    <n v="150000"/>
    <n v="0"/>
    <n v="0"/>
    <n v="2.2939999999999999E-2"/>
  </r>
  <r>
    <s v="P131"/>
    <s v="Instagram"/>
    <d v="2024-10-21T00:00:00"/>
    <s v="Reel"/>
    <s v="Check out our latest reel on instagram!"/>
    <n v="4840"/>
    <n v="658"/>
    <n v="211"/>
    <n v="43560"/>
    <n v="5766"/>
    <n v="43225"/>
    <n v="57"/>
    <s v="FutureOfDriving"/>
    <m/>
    <m/>
    <x v="2"/>
    <n v="0"/>
    <n v="0"/>
    <n v="0"/>
    <s v=""/>
  </r>
  <r>
    <s v="P132"/>
    <s v="Instagram"/>
    <d v="2025-03-04T00:00:00"/>
    <s v="Story"/>
    <s v="Check out our latest story on instagram!"/>
    <n v="1947"/>
    <n v="842"/>
    <n v="101"/>
    <n v="21417"/>
    <n v="3076"/>
    <n v="20967"/>
    <n v="186"/>
    <s v="FutureOfDriving"/>
    <m/>
    <m/>
    <x v="1"/>
    <n v="0"/>
    <n v="0"/>
    <n v="0"/>
    <s v=""/>
  </r>
  <r>
    <s v="P133"/>
    <s v="Facebook"/>
    <d v="2025-02-06T00:00:00"/>
    <s v="Image"/>
    <s v="Check out our latest image on facebook!"/>
    <n v="2072"/>
    <n v="532"/>
    <n v="71"/>
    <n v="37296"/>
    <n v="2700"/>
    <n v="36467"/>
    <n v="25"/>
    <s v="TeslaCoInnovation"/>
    <m/>
    <m/>
    <x v="3"/>
    <n v="0"/>
    <n v="0"/>
    <n v="0"/>
    <s v=""/>
  </r>
  <r>
    <s v="P134"/>
    <s v="Twitter"/>
    <d v="2025-04-24T00:00:00"/>
    <s v="Reel"/>
    <s v="Check out our latest reel on twitter!"/>
    <n v="3731"/>
    <n v="115"/>
    <n v="135"/>
    <n v="55965"/>
    <n v="4084"/>
    <n v="55436"/>
    <n v="103"/>
    <s v="TeslaCoInnovation"/>
    <m/>
    <m/>
    <x v="0"/>
    <n v="0"/>
    <n v="0"/>
    <n v="0"/>
    <s v=""/>
  </r>
  <r>
    <s v="P135"/>
    <s v="Facebook"/>
    <d v="2024-11-28T00:00:00"/>
    <s v="Text"/>
    <s v="Check out our latest text on facebook!"/>
    <n v="4213"/>
    <n v="253"/>
    <n v="434"/>
    <n v="75834"/>
    <n v="5172"/>
    <n v="75437"/>
    <n v="272"/>
    <s v="FutureOfDriving"/>
    <m/>
    <m/>
    <x v="3"/>
    <n v="0"/>
    <n v="0"/>
    <n v="0"/>
    <s v=""/>
  </r>
  <r>
    <s v="P136"/>
    <s v="Instagram"/>
    <d v="2024-07-11T00:00:00"/>
    <s v="Text"/>
    <s v="Check out our latest text on instagram!"/>
    <n v="3134"/>
    <n v="888"/>
    <n v="444"/>
    <n v="21938"/>
    <n v="4596"/>
    <n v="21337"/>
    <n v="130"/>
    <s v="EVRevolution"/>
    <m/>
    <m/>
    <x v="3"/>
    <n v="150000"/>
    <n v="0"/>
    <n v="0"/>
    <n v="3.0640000000000001E-2"/>
  </r>
  <r>
    <s v="P137"/>
    <s v="Facebook"/>
    <d v="2024-07-31T00:00:00"/>
    <s v="Video"/>
    <s v="Check out our latest video on facebook!"/>
    <n v="3008"/>
    <n v="94"/>
    <n v="37"/>
    <n v="15040"/>
    <n v="3416"/>
    <n v="14639"/>
    <n v="277"/>
    <s v="FutureOfDriving"/>
    <m/>
    <m/>
    <x v="4"/>
    <n v="0"/>
    <n v="0"/>
    <n v="0"/>
    <s v=""/>
  </r>
  <r>
    <s v="P138"/>
    <s v="Twitter"/>
    <d v="2025-03-29T00:00:00"/>
    <s v="Image"/>
    <s v="Check out our latest image on twitter!"/>
    <n v="305"/>
    <n v="187"/>
    <n v="243"/>
    <n v="4575"/>
    <n v="969"/>
    <n v="3704"/>
    <n v="234"/>
    <s v="FutureOfDriving"/>
    <m/>
    <m/>
    <x v="2"/>
    <n v="0"/>
    <n v="0"/>
    <n v="0"/>
    <s v=""/>
  </r>
  <r>
    <s v="P139"/>
    <s v="YouTube"/>
    <d v="2024-10-29T00:00:00"/>
    <s v="Text"/>
    <s v="Check out our latest text on youtube!"/>
    <n v="2746"/>
    <n v="156"/>
    <n v="203"/>
    <n v="32952"/>
    <n v="3252"/>
    <n v="32147"/>
    <n v="147"/>
    <s v="EVRevolution"/>
    <m/>
    <m/>
    <x v="0"/>
    <n v="150000"/>
    <n v="0"/>
    <n v="0"/>
    <n v="2.1680000000000001E-2"/>
  </r>
  <r>
    <s v="P140"/>
    <s v="Facebook"/>
    <d v="2024-07-15T00:00:00"/>
    <s v="Image"/>
    <s v="Check out our latest image on facebook!"/>
    <n v="2291"/>
    <n v="78"/>
    <n v="485"/>
    <n v="18328"/>
    <n v="2864"/>
    <n v="18101"/>
    <n v="10"/>
    <s v="EVRevolution"/>
    <s v="SmoothLikeNitroTesla"/>
    <m/>
    <x v="1"/>
    <n v="150000"/>
    <n v="250000"/>
    <n v="0"/>
    <n v="7.1599999999999997E-3"/>
  </r>
  <r>
    <s v="P141"/>
    <s v="Twitter"/>
    <d v="2024-08-31T00:00:00"/>
    <s v="Image"/>
    <s v="Check out our latest image on twitter!"/>
    <n v="3170"/>
    <n v="857"/>
    <n v="379"/>
    <n v="19020"/>
    <n v="4646"/>
    <n v="18559"/>
    <n v="240"/>
    <s v="FutureOfDriving"/>
    <m/>
    <m/>
    <x v="4"/>
    <n v="0"/>
    <n v="0"/>
    <n v="0"/>
    <s v=""/>
  </r>
  <r>
    <s v="P142"/>
    <s v="YouTube"/>
    <d v="2025-03-25T00:00:00"/>
    <s v="Story"/>
    <s v="Check out our latest story on youtube!"/>
    <n v="2070"/>
    <n v="275"/>
    <n v="386"/>
    <n v="39330"/>
    <n v="2845"/>
    <n v="38627"/>
    <n v="114"/>
    <s v="FutureOfDriving"/>
    <m/>
    <m/>
    <x v="3"/>
    <n v="0"/>
    <n v="0"/>
    <n v="0"/>
    <s v=""/>
  </r>
  <r>
    <s v="P143"/>
    <s v="YouTube"/>
    <d v="2024-10-02T00:00:00"/>
    <s v="Carousel"/>
    <s v="Check out our latest carousel on youtube!"/>
    <n v="80"/>
    <n v="362"/>
    <n v="80"/>
    <n v="1040"/>
    <n v="639"/>
    <n v="349"/>
    <n v="117"/>
    <s v="TeslaCoInnovation"/>
    <m/>
    <m/>
    <x v="2"/>
    <n v="0"/>
    <n v="0"/>
    <n v="0"/>
    <s v=""/>
  </r>
  <r>
    <s v="P144"/>
    <s v="YouTube"/>
    <d v="2024-10-28T00:00:00"/>
    <s v="Story"/>
    <s v="Check out our latest story on youtube!"/>
    <n v="4929"/>
    <n v="749"/>
    <n v="452"/>
    <n v="93651"/>
    <n v="6196"/>
    <n v="92810"/>
    <n v="66"/>
    <s v="EVRevolution"/>
    <m/>
    <m/>
    <x v="3"/>
    <n v="150000"/>
    <n v="0"/>
    <n v="0"/>
    <n v="4.1306666666666665E-2"/>
  </r>
  <r>
    <s v="P145"/>
    <s v="Instagram"/>
    <d v="2024-08-12T00:00:00"/>
    <s v="Carousel"/>
    <s v="Check out our latest carousel on instagram!"/>
    <n v="1878"/>
    <n v="62"/>
    <n v="179"/>
    <n v="37560"/>
    <n v="2261"/>
    <n v="36874"/>
    <n v="142"/>
    <s v="TeslaCoInnovation"/>
    <m/>
    <m/>
    <x v="3"/>
    <n v="0"/>
    <n v="0"/>
    <n v="0"/>
    <s v=""/>
  </r>
  <r>
    <s v="P146"/>
    <s v="YouTube"/>
    <d v="2024-06-05T00:00:00"/>
    <s v="Reel"/>
    <s v="Check out our latest reel on youtube!"/>
    <n v="3065"/>
    <n v="772"/>
    <n v="142"/>
    <n v="18390"/>
    <n v="4179"/>
    <n v="17875"/>
    <n v="200"/>
    <s v="EVRevolution"/>
    <s v="AnytimeIsTeslaTime"/>
    <m/>
    <x v="4"/>
    <n v="150000"/>
    <n v="200000"/>
    <n v="0"/>
    <n v="1.1939999999999999E-2"/>
  </r>
  <r>
    <s v="P147"/>
    <s v="Instagram"/>
    <d v="2024-10-21T00:00:00"/>
    <s v="Reel"/>
    <s v="Check out our latest reel on instagram!"/>
    <n v="3256"/>
    <n v="459"/>
    <n v="266"/>
    <n v="26048"/>
    <n v="4124"/>
    <n v="25529"/>
    <n v="143"/>
    <s v="TeslaCoInnovation"/>
    <m/>
    <m/>
    <x v="1"/>
    <n v="0"/>
    <n v="0"/>
    <n v="0"/>
    <s v=""/>
  </r>
  <r>
    <s v="P148"/>
    <s v="Instagram"/>
    <d v="2025-04-15T00:00:00"/>
    <s v="Video"/>
    <s v="Check out our latest video on instagram!"/>
    <n v="4133"/>
    <n v="466"/>
    <n v="327"/>
    <n v="24798"/>
    <n v="5102"/>
    <n v="24620"/>
    <n v="176"/>
    <s v="EVRevolution"/>
    <m/>
    <m/>
    <x v="3"/>
    <n v="150000"/>
    <n v="0"/>
    <n v="0"/>
    <n v="3.4013333333333333E-2"/>
  </r>
  <r>
    <s v="P149"/>
    <s v="Twitter"/>
    <d v="2024-06-16T00:00:00"/>
    <s v="Video"/>
    <s v="Check out our latest video on twitter!"/>
    <n v="1702"/>
    <n v="750"/>
    <n v="179"/>
    <n v="34040"/>
    <n v="2707"/>
    <n v="33174"/>
    <n v="76"/>
    <s v="EVRevolution"/>
    <m/>
    <m/>
    <x v="0"/>
    <n v="150000"/>
    <n v="0"/>
    <n v="0"/>
    <n v="1.8046666666666666E-2"/>
  </r>
  <r>
    <s v="P150"/>
    <s v="YouTube"/>
    <d v="2024-08-22T00:00:00"/>
    <s v="Carousel"/>
    <s v="Check out our latest carousel on youtube!"/>
    <n v="4295"/>
    <n v="853"/>
    <n v="325"/>
    <n v="85900"/>
    <n v="5763"/>
    <n v="85788"/>
    <n v="290"/>
    <s v="TeslaCoInnovation"/>
    <m/>
    <m/>
    <x v="3"/>
    <n v="0"/>
    <n v="0"/>
    <n v="0"/>
    <s v=""/>
  </r>
  <r>
    <s v="P151"/>
    <s v="Instagram"/>
    <d v="2024-07-26T00:00:00"/>
    <s v="Image"/>
    <s v="Check out our latest image on instagram!"/>
    <n v="3559"/>
    <n v="59"/>
    <n v="289"/>
    <n v="35590"/>
    <n v="4029"/>
    <n v="35105"/>
    <n v="122"/>
    <s v="EVRevolution"/>
    <m/>
    <m/>
    <x v="0"/>
    <n v="150000"/>
    <n v="0"/>
    <n v="0"/>
    <n v="2.6859999999999998E-2"/>
  </r>
  <r>
    <s v="P152"/>
    <s v="Facebook"/>
    <d v="2025-04-22T00:00:00"/>
    <s v="Image"/>
    <s v="Check out our latest image on facebook!"/>
    <n v="4804"/>
    <n v="550"/>
    <n v="270"/>
    <n v="28824"/>
    <n v="5671"/>
    <n v="28370"/>
    <n v="47"/>
    <s v="EVRevolution"/>
    <m/>
    <m/>
    <x v="3"/>
    <n v="150000"/>
    <n v="0"/>
    <n v="0"/>
    <n v="3.7806666666666669E-2"/>
  </r>
  <r>
    <s v="P153"/>
    <s v="Twitter"/>
    <d v="2025-01-01T00:00:00"/>
    <s v="Video"/>
    <s v="Check out our latest video on twitter!"/>
    <n v="754"/>
    <n v="197"/>
    <n v="257"/>
    <n v="6786"/>
    <n v="1420"/>
    <n v="6221"/>
    <n v="212"/>
    <s v="TeslaCoInnovation"/>
    <m/>
    <m/>
    <x v="2"/>
    <n v="0"/>
    <n v="0"/>
    <n v="0"/>
    <s v=""/>
  </r>
  <r>
    <s v="P154"/>
    <s v="Instagram"/>
    <d v="2024-10-09T00:00:00"/>
    <s v="Carousel"/>
    <s v="Check out our latest carousel on instagram!"/>
    <n v="985"/>
    <n v="932"/>
    <n v="287"/>
    <n v="6895"/>
    <n v="2268"/>
    <n v="6757"/>
    <n v="64"/>
    <s v="FutureOfDriving"/>
    <m/>
    <m/>
    <x v="3"/>
    <n v="0"/>
    <n v="0"/>
    <n v="0"/>
    <s v=""/>
  </r>
  <r>
    <s v="P155"/>
    <s v="YouTube"/>
    <d v="2024-12-21T00:00:00"/>
    <s v="Image"/>
    <s v="Check out our latest image on youtube!"/>
    <n v="2283"/>
    <n v="210"/>
    <n v="130"/>
    <n v="22830"/>
    <n v="2766"/>
    <n v="22617"/>
    <n v="143"/>
    <s v="FutureOfDriving"/>
    <m/>
    <m/>
    <x v="1"/>
    <n v="0"/>
    <n v="0"/>
    <n v="0"/>
    <s v=""/>
  </r>
  <r>
    <s v="P156"/>
    <s v="Facebook"/>
    <d v="2024-10-22T00:00:00"/>
    <s v="Carousel"/>
    <s v="Check out our latest carousel on facebook!"/>
    <n v="3352"/>
    <n v="941"/>
    <n v="482"/>
    <n v="43576"/>
    <n v="5015"/>
    <n v="43338"/>
    <n v="240"/>
    <s v="FutureOfDriving"/>
    <m/>
    <m/>
    <x v="1"/>
    <n v="0"/>
    <n v="0"/>
    <n v="0"/>
    <s v=""/>
  </r>
  <r>
    <s v="P157"/>
    <s v="YouTube"/>
    <d v="2024-07-23T00:00:00"/>
    <s v="Story"/>
    <s v="Check out our latest story on youtube!"/>
    <n v="4775"/>
    <n v="173"/>
    <n v="206"/>
    <n v="47750"/>
    <n v="5341"/>
    <n v="47544"/>
    <n v="187"/>
    <s v="FutureOfDriving"/>
    <m/>
    <m/>
    <x v="1"/>
    <n v="0"/>
    <n v="0"/>
    <n v="0"/>
    <s v=""/>
  </r>
  <r>
    <s v="P158"/>
    <s v="Instagram"/>
    <d v="2024-08-11T00:00:00"/>
    <s v="Story"/>
    <s v="Check out our latest story on instagram!"/>
    <n v="1762"/>
    <n v="405"/>
    <n v="423"/>
    <n v="22906"/>
    <n v="2615"/>
    <n v="21925"/>
    <n v="25"/>
    <s v="TeslaCoInnovation"/>
    <m/>
    <m/>
    <x v="0"/>
    <n v="0"/>
    <n v="0"/>
    <n v="0"/>
    <s v=""/>
  </r>
  <r>
    <s v="P159"/>
    <s v="Facebook"/>
    <d v="2024-11-25T00:00:00"/>
    <s v="Story"/>
    <s v="Check out our latest story on facebook!"/>
    <n v="2120"/>
    <n v="158"/>
    <n v="488"/>
    <n v="12720"/>
    <n v="2783"/>
    <n v="12085"/>
    <n v="17"/>
    <s v="FutureOfDriving"/>
    <m/>
    <m/>
    <x v="1"/>
    <n v="0"/>
    <n v="0"/>
    <n v="0"/>
    <s v=""/>
  </r>
  <r>
    <s v="P160"/>
    <s v="Twitter"/>
    <d v="2024-08-24T00:00:00"/>
    <s v="Video"/>
    <s v="Check out our latest video on twitter!"/>
    <n v="1082"/>
    <n v="209"/>
    <n v="484"/>
    <n v="19476"/>
    <n v="1795"/>
    <n v="18654"/>
    <n v="20"/>
    <s v="TeslaCoInnovation"/>
    <m/>
    <m/>
    <x v="4"/>
    <n v="0"/>
    <n v="0"/>
    <n v="0"/>
    <s v=""/>
  </r>
  <r>
    <s v="P161"/>
    <s v="Twitter"/>
    <d v="2025-02-19T00:00:00"/>
    <s v="Text"/>
    <s v="Check out our latest text on twitter!"/>
    <n v="4671"/>
    <n v="876"/>
    <n v="366"/>
    <n v="51381"/>
    <n v="6158"/>
    <n v="50565"/>
    <n v="245"/>
    <s v="TeslaCoInnovation"/>
    <m/>
    <m/>
    <x v="3"/>
    <n v="0"/>
    <n v="0"/>
    <n v="0"/>
    <s v=""/>
  </r>
  <r>
    <s v="P162"/>
    <s v="Facebook"/>
    <d v="2025-04-01T00:00:00"/>
    <s v="Story"/>
    <s v="Check out our latest story on facebook!"/>
    <n v="3430"/>
    <n v="566"/>
    <n v="164"/>
    <n v="48020"/>
    <n v="4280"/>
    <n v="47305"/>
    <n v="120"/>
    <s v="FutureOfDriving"/>
    <m/>
    <m/>
    <x v="4"/>
    <n v="0"/>
    <n v="0"/>
    <n v="0"/>
    <s v=""/>
  </r>
  <r>
    <s v="P163"/>
    <s v="Instagram"/>
    <d v="2025-04-08T00:00:00"/>
    <s v="Image"/>
    <s v="Check out our latest image on instagram!"/>
    <n v="4501"/>
    <n v="375"/>
    <n v="323"/>
    <n v="22505"/>
    <n v="5331"/>
    <n v="21836"/>
    <n v="132"/>
    <s v="TeslaCoInnovation"/>
    <m/>
    <m/>
    <x v="1"/>
    <n v="0"/>
    <n v="0"/>
    <n v="0"/>
    <s v=""/>
  </r>
  <r>
    <s v="P164"/>
    <s v="YouTube"/>
    <d v="2025-02-27T00:00:00"/>
    <s v="Text"/>
    <s v="Check out our latest text on youtube!"/>
    <n v="4934"/>
    <n v="971"/>
    <n v="156"/>
    <n v="39472"/>
    <n v="6230"/>
    <n v="39025"/>
    <n v="169"/>
    <s v="TeslaCoInnovation"/>
    <s v="AnytimeIsTeslaTime"/>
    <m/>
    <x v="3"/>
    <n v="0"/>
    <n v="200000"/>
    <n v="0"/>
    <n v="3.1150000000000001E-2"/>
  </r>
  <r>
    <s v="P165"/>
    <s v="Twitter"/>
    <d v="2024-12-11T00:00:00"/>
    <s v="Text"/>
    <s v="Check out our latest text on twitter!"/>
    <n v="3239"/>
    <n v="43"/>
    <n v="211"/>
    <n v="22673"/>
    <n v="3723"/>
    <n v="22171"/>
    <n v="230"/>
    <s v="TeslaCoInnovation"/>
    <m/>
    <m/>
    <x v="1"/>
    <n v="0"/>
    <n v="0"/>
    <n v="0"/>
    <s v=""/>
  </r>
  <r>
    <s v="P166"/>
    <s v="Twitter"/>
    <d v="2025-02-16T00:00:00"/>
    <s v="Reel"/>
    <s v="Check out our latest reel on twitter!"/>
    <n v="1076"/>
    <n v="313"/>
    <n v="306"/>
    <n v="11836"/>
    <n v="1799"/>
    <n v="11596"/>
    <n v="104"/>
    <s v="FutureOfDriving"/>
    <m/>
    <m/>
    <x v="0"/>
    <n v="0"/>
    <n v="0"/>
    <n v="0"/>
    <s v=""/>
  </r>
  <r>
    <s v="P167"/>
    <s v="Instagram"/>
    <d v="2024-11-28T00:00:00"/>
    <s v="Text"/>
    <s v="Check out our latest text on instagram!"/>
    <n v="4771"/>
    <n v="818"/>
    <n v="56"/>
    <n v="57252"/>
    <n v="5795"/>
    <n v="56378"/>
    <n v="150"/>
    <s v="FutureOfDriving"/>
    <m/>
    <m/>
    <x v="4"/>
    <n v="0"/>
    <n v="0"/>
    <n v="0"/>
    <s v=""/>
  </r>
  <r>
    <s v="P168"/>
    <s v="Facebook"/>
    <d v="2024-11-12T00:00:00"/>
    <s v="Text"/>
    <s v="Check out our latest text on facebook!"/>
    <n v="2418"/>
    <n v="754"/>
    <n v="54"/>
    <n v="43524"/>
    <n v="3408"/>
    <n v="42743"/>
    <n v="182"/>
    <s v="EVRevolution"/>
    <m/>
    <m/>
    <x v="0"/>
    <n v="150000"/>
    <n v="0"/>
    <n v="0"/>
    <n v="2.2720000000000001E-2"/>
  </r>
  <r>
    <s v="P169"/>
    <s v="YouTube"/>
    <d v="2024-12-03T00:00:00"/>
    <s v="Video"/>
    <s v="Check out our latest video on youtube!"/>
    <n v="3809"/>
    <n v="273"/>
    <n v="200"/>
    <n v="34281"/>
    <n v="4365"/>
    <n v="33534"/>
    <n v="83"/>
    <s v="EVRevolution"/>
    <m/>
    <m/>
    <x v="0"/>
    <n v="150000"/>
    <n v="0"/>
    <n v="0"/>
    <n v="2.9100000000000001E-2"/>
  </r>
  <r>
    <s v="P170"/>
    <s v="Twitter"/>
    <d v="2025-04-28T00:00:00"/>
    <s v="Text"/>
    <s v="Check out our latest text on twitter!"/>
    <n v="3577"/>
    <n v="596"/>
    <n v="493"/>
    <n v="67963"/>
    <n v="4719"/>
    <n v="67839"/>
    <n v="53"/>
    <s v="TeslaCoInnovation"/>
    <m/>
    <m/>
    <x v="2"/>
    <n v="0"/>
    <n v="0"/>
    <n v="0"/>
    <s v=""/>
  </r>
  <r>
    <s v="P171"/>
    <s v="YouTube"/>
    <d v="2024-12-31T00:00:00"/>
    <s v="Video"/>
    <s v="Check out our latest video on youtube!"/>
    <n v="1018"/>
    <n v="447"/>
    <n v="332"/>
    <n v="18324"/>
    <n v="1835"/>
    <n v="18164"/>
    <n v="38"/>
    <s v="FutureOfDriving"/>
    <m/>
    <m/>
    <x v="1"/>
    <n v="0"/>
    <n v="0"/>
    <n v="0"/>
    <s v=""/>
  </r>
  <r>
    <s v="P172"/>
    <s v="Facebook"/>
    <d v="2024-08-14T00:00:00"/>
    <s v="Carousel"/>
    <s v="Check out our latest carousel on facebook!"/>
    <n v="3073"/>
    <n v="553"/>
    <n v="174"/>
    <n v="52241"/>
    <n v="4046"/>
    <n v="51605"/>
    <n v="246"/>
    <s v="EVRevolution"/>
    <m/>
    <m/>
    <x v="2"/>
    <n v="150000"/>
    <n v="0"/>
    <n v="0"/>
    <n v="2.6973333333333332E-2"/>
  </r>
  <r>
    <s v="P173"/>
    <s v="Twitter"/>
    <d v="2024-12-05T00:00:00"/>
    <s v="Video"/>
    <s v="Check out our latest video on twitter!"/>
    <n v="1330"/>
    <n v="925"/>
    <n v="35"/>
    <n v="15960"/>
    <n v="2519"/>
    <n v="15379"/>
    <n v="229"/>
    <s v="FutureOfDriving"/>
    <m/>
    <m/>
    <x v="2"/>
    <n v="0"/>
    <n v="0"/>
    <n v="0"/>
    <s v=""/>
  </r>
  <r>
    <s v="P174"/>
    <s v="Facebook"/>
    <d v="2024-06-22T00:00:00"/>
    <s v="Text"/>
    <s v="Check out our latest text on facebook!"/>
    <n v="3828"/>
    <n v="148"/>
    <n v="253"/>
    <n v="30624"/>
    <n v="4464"/>
    <n v="30229"/>
    <n v="235"/>
    <s v="EVRevolution"/>
    <m/>
    <m/>
    <x v="4"/>
    <n v="150000"/>
    <n v="0"/>
    <n v="0"/>
    <n v="2.9760000000000002E-2"/>
  </r>
  <r>
    <s v="P175"/>
    <s v="Instagram"/>
    <d v="2025-01-17T00:00:00"/>
    <s v="Reel"/>
    <s v="Check out our latest reel on instagram!"/>
    <n v="142"/>
    <n v="784"/>
    <n v="183"/>
    <n v="1704"/>
    <n v="1263"/>
    <n v="995"/>
    <n v="154"/>
    <s v="FutureOfDriving"/>
    <m/>
    <m/>
    <x v="3"/>
    <n v="0"/>
    <n v="0"/>
    <n v="0"/>
    <s v=""/>
  </r>
  <r>
    <s v="P176"/>
    <s v="Facebook"/>
    <d v="2024-06-20T00:00:00"/>
    <s v="Video"/>
    <s v="Check out our latest video on facebook!"/>
    <n v="3798"/>
    <n v="31"/>
    <n v="279"/>
    <n v="75960"/>
    <n v="4374"/>
    <n v="75813"/>
    <n v="266"/>
    <s v="TeslaCoInnovation"/>
    <m/>
    <m/>
    <x v="0"/>
    <n v="0"/>
    <n v="0"/>
    <n v="0"/>
    <s v=""/>
  </r>
  <r>
    <s v="P177"/>
    <s v="Instagram"/>
    <d v="2024-07-10T00:00:00"/>
    <s v="Carousel"/>
    <s v="Check out our latest carousel on instagram!"/>
    <n v="3099"/>
    <n v="694"/>
    <n v="171"/>
    <n v="43386"/>
    <n v="4016"/>
    <n v="42921"/>
    <n v="52"/>
    <s v="TeslaCoInnovation"/>
    <m/>
    <m/>
    <x v="2"/>
    <n v="0"/>
    <n v="0"/>
    <n v="0"/>
    <s v=""/>
  </r>
  <r>
    <s v="P178"/>
    <s v="Instagram"/>
    <d v="2024-11-07T00:00:00"/>
    <s v="Video"/>
    <s v="Check out our latest video on instagram!"/>
    <n v="129"/>
    <n v="643"/>
    <n v="136"/>
    <n v="1290"/>
    <n v="1146"/>
    <n v="839"/>
    <n v="238"/>
    <s v="TeslaCoInnovation"/>
    <m/>
    <m/>
    <x v="3"/>
    <n v="0"/>
    <n v="0"/>
    <n v="0"/>
    <s v=""/>
  </r>
  <r>
    <s v="P179"/>
    <s v="Facebook"/>
    <d v="2024-07-15T00:00:00"/>
    <s v="Carousel"/>
    <s v="Check out our latest carousel on facebook!"/>
    <n v="3796"/>
    <n v="667"/>
    <n v="395"/>
    <n v="64532"/>
    <n v="5150"/>
    <n v="63550"/>
    <n v="292"/>
    <s v="TeslaCoInnovation"/>
    <m/>
    <m/>
    <x v="4"/>
    <n v="0"/>
    <n v="0"/>
    <n v="0"/>
    <s v=""/>
  </r>
  <r>
    <s v="P180"/>
    <s v="YouTube"/>
    <d v="2024-12-03T00:00:00"/>
    <s v="Text"/>
    <s v="Check out our latest text on youtube!"/>
    <n v="3711"/>
    <n v="352"/>
    <n v="290"/>
    <n v="48243"/>
    <n v="4364"/>
    <n v="47579"/>
    <n v="11"/>
    <s v="TeslaCoInnovation"/>
    <m/>
    <m/>
    <x v="0"/>
    <n v="0"/>
    <n v="0"/>
    <n v="0"/>
    <s v=""/>
  </r>
  <r>
    <s v="P181"/>
    <s v="YouTube"/>
    <d v="2025-03-21T00:00:00"/>
    <s v="Image"/>
    <s v="Check out our latest image on youtube!"/>
    <n v="606"/>
    <n v="789"/>
    <n v="470"/>
    <n v="7878"/>
    <n v="2104"/>
    <n v="7389"/>
    <n v="239"/>
    <s v="EVRevolution"/>
    <m/>
    <m/>
    <x v="2"/>
    <n v="150000"/>
    <n v="0"/>
    <n v="0"/>
    <n v="1.4026666666666666E-2"/>
  </r>
  <r>
    <s v="P182"/>
    <s v="Facebook"/>
    <d v="2024-07-31T00:00:00"/>
    <s v="Image"/>
    <s v="Check out our latest image on facebook!"/>
    <n v="4689"/>
    <n v="134"/>
    <n v="403"/>
    <n v="51579"/>
    <n v="5399"/>
    <n v="50924"/>
    <n v="173"/>
    <s v="TeslaCoInnovation"/>
    <m/>
    <m/>
    <x v="3"/>
    <n v="0"/>
    <n v="0"/>
    <n v="0"/>
    <s v=""/>
  </r>
  <r>
    <s v="P183"/>
    <s v="Instagram"/>
    <d v="2024-12-17T00:00:00"/>
    <s v="Story"/>
    <s v="Check out our latest story on instagram!"/>
    <n v="360"/>
    <n v="590"/>
    <n v="393"/>
    <n v="4680"/>
    <n v="1551"/>
    <n v="4322"/>
    <n v="208"/>
    <s v="FutureOfDriving"/>
    <m/>
    <m/>
    <x v="1"/>
    <n v="0"/>
    <n v="0"/>
    <n v="0"/>
    <s v=""/>
  </r>
  <r>
    <s v="P184"/>
    <s v="Twitter"/>
    <d v="2024-07-28T00:00:00"/>
    <s v="Image"/>
    <s v="Check out our latest image on twitter!"/>
    <n v="3215"/>
    <n v="960"/>
    <n v="202"/>
    <n v="32150"/>
    <n v="4628"/>
    <n v="31404"/>
    <n v="251"/>
    <s v="EVRevolution"/>
    <m/>
    <m/>
    <x v="0"/>
    <n v="150000"/>
    <n v="0"/>
    <n v="0"/>
    <n v="3.0853333333333333E-2"/>
  </r>
  <r>
    <s v="P185"/>
    <s v="Instagram"/>
    <d v="2025-01-11T00:00:00"/>
    <s v="Carousel"/>
    <s v="Check out our latest carousel on instagram!"/>
    <n v="4523"/>
    <n v="61"/>
    <n v="157"/>
    <n v="49753"/>
    <n v="4812"/>
    <n v="49329"/>
    <n v="71"/>
    <s v="EVRevolution"/>
    <m/>
    <m/>
    <x v="4"/>
    <n v="150000"/>
    <n v="0"/>
    <n v="0"/>
    <n v="3.2079999999999997E-2"/>
  </r>
  <r>
    <s v="P186"/>
    <s v="Facebook"/>
    <d v="2024-08-24T00:00:00"/>
    <s v="Carousel"/>
    <s v="Check out our latest carousel on facebook!"/>
    <n v="4292"/>
    <n v="51"/>
    <n v="392"/>
    <n v="55796"/>
    <n v="4999"/>
    <n v="54826"/>
    <n v="264"/>
    <s v="EVRevolution"/>
    <m/>
    <m/>
    <x v="2"/>
    <n v="150000"/>
    <n v="0"/>
    <n v="0"/>
    <n v="3.3326666666666664E-2"/>
  </r>
  <r>
    <s v="P187"/>
    <s v="Twitter"/>
    <d v="2024-12-22T00:00:00"/>
    <s v="Reel"/>
    <s v="Check out our latest reel on twitter!"/>
    <n v="1644"/>
    <n v="546"/>
    <n v="150"/>
    <n v="27948"/>
    <n v="2640"/>
    <n v="27184"/>
    <n v="300"/>
    <s v="EVRevolution"/>
    <m/>
    <m/>
    <x v="2"/>
    <n v="150000"/>
    <n v="0"/>
    <n v="0"/>
    <n v="1.7600000000000001E-2"/>
  </r>
  <r>
    <s v="P188"/>
    <s v="YouTube"/>
    <d v="2024-06-06T00:00:00"/>
    <s v="Reel"/>
    <s v="Check out our latest reel on youtube!"/>
    <n v="2728"/>
    <n v="533"/>
    <n v="215"/>
    <n v="40920"/>
    <n v="3613"/>
    <n v="40816"/>
    <n v="137"/>
    <s v="FutureOfDriving"/>
    <m/>
    <m/>
    <x v="1"/>
    <n v="0"/>
    <n v="0"/>
    <n v="0"/>
    <s v=""/>
  </r>
  <r>
    <s v="P189"/>
    <s v="Facebook"/>
    <d v="2025-03-24T00:00:00"/>
    <s v="Reel"/>
    <s v="Check out our latest reel on facebook!"/>
    <n v="3360"/>
    <n v="525"/>
    <n v="500"/>
    <n v="60480"/>
    <n v="4577"/>
    <n v="59610"/>
    <n v="192"/>
    <s v="TeslaCoInnovation"/>
    <m/>
    <m/>
    <x v="0"/>
    <n v="0"/>
    <n v="0"/>
    <n v="0"/>
    <s v=""/>
  </r>
  <r>
    <s v="P190"/>
    <s v="YouTube"/>
    <d v="2024-10-04T00:00:00"/>
    <s v="Text"/>
    <s v="Check out our latest text on youtube!"/>
    <n v="1963"/>
    <n v="213"/>
    <n v="19"/>
    <n v="39260"/>
    <n v="2340"/>
    <n v="38771"/>
    <n v="145"/>
    <s v="FutureOfDriving"/>
    <m/>
    <m/>
    <x v="4"/>
    <n v="0"/>
    <n v="0"/>
    <n v="0"/>
    <s v=""/>
  </r>
  <r>
    <s v="P191"/>
    <s v="YouTube"/>
    <d v="2024-12-03T00:00:00"/>
    <s v="Story"/>
    <s v="Check out our latest story on youtube!"/>
    <n v="4285"/>
    <n v="886"/>
    <n v="376"/>
    <n v="55705"/>
    <n v="5598"/>
    <n v="55556"/>
    <n v="51"/>
    <s v="FutureOfDriving"/>
    <m/>
    <m/>
    <x v="2"/>
    <n v="0"/>
    <n v="0"/>
    <n v="0"/>
    <s v=""/>
  </r>
  <r>
    <s v="P192"/>
    <s v="Instagram"/>
    <d v="2024-11-29T00:00:00"/>
    <s v="Video"/>
    <s v="Check out our latest video on instagram!"/>
    <n v="1176"/>
    <n v="464"/>
    <n v="394"/>
    <n v="14112"/>
    <n v="2306"/>
    <n v="13588"/>
    <n v="272"/>
    <s v="EVRevolution"/>
    <m/>
    <m/>
    <x v="4"/>
    <n v="150000"/>
    <n v="0"/>
    <n v="0"/>
    <n v="1.5373333333333333E-2"/>
  </r>
  <r>
    <s v="P193"/>
    <s v="Twitter"/>
    <d v="2024-09-11T00:00:00"/>
    <s v="Image"/>
    <s v="Check out our latest image on twitter!"/>
    <n v="4858"/>
    <n v="317"/>
    <n v="129"/>
    <n v="53438"/>
    <n v="5527"/>
    <n v="52687"/>
    <n v="223"/>
    <s v="EVRevolution"/>
    <m/>
    <m/>
    <x v="2"/>
    <n v="150000"/>
    <n v="0"/>
    <n v="0"/>
    <n v="3.6846666666666666E-2"/>
  </r>
  <r>
    <s v="P194"/>
    <s v="YouTube"/>
    <d v="2024-10-02T00:00:00"/>
    <s v="Story"/>
    <s v="Check out our latest story on youtube!"/>
    <n v="4350"/>
    <n v="771"/>
    <n v="7"/>
    <n v="60900"/>
    <n v="5323"/>
    <n v="60592"/>
    <n v="195"/>
    <s v="EVRevolution"/>
    <m/>
    <m/>
    <x v="0"/>
    <n v="150000"/>
    <n v="0"/>
    <n v="0"/>
    <n v="3.5486666666666666E-2"/>
  </r>
  <r>
    <s v="P195"/>
    <s v="Instagram"/>
    <d v="2024-08-15T00:00:00"/>
    <s v="Carousel"/>
    <s v="Check out our latest carousel on instagram!"/>
    <n v="914"/>
    <n v="464"/>
    <n v="246"/>
    <n v="11882"/>
    <n v="1906"/>
    <n v="11500"/>
    <n v="282"/>
    <s v="FutureOfDriving"/>
    <s v="TeslaCoInnovation"/>
    <s v="AnytimeIsTeslaTime"/>
    <x v="3"/>
    <n v="0"/>
    <n v="0"/>
    <n v="200000"/>
    <n v="9.5300000000000003E-3"/>
  </r>
  <r>
    <s v="P196"/>
    <s v="Instagram"/>
    <d v="2024-12-19T00:00:00"/>
    <s v="Text"/>
    <s v="Check out our latest text on instagram!"/>
    <n v="1813"/>
    <n v="623"/>
    <n v="72"/>
    <n v="19943"/>
    <n v="2593"/>
    <n v="18959"/>
    <n v="85"/>
    <s v="EVRevolution"/>
    <m/>
    <m/>
    <x v="2"/>
    <n v="150000"/>
    <n v="0"/>
    <n v="0"/>
    <n v="1.7286666666666665E-2"/>
  </r>
  <r>
    <s v="P197"/>
    <s v="Twitter"/>
    <d v="2024-10-22T00:00:00"/>
    <s v="Reel"/>
    <s v="Check out our latest reel on twitter!"/>
    <n v="4782"/>
    <n v="721"/>
    <n v="82"/>
    <n v="86076"/>
    <n v="5604"/>
    <n v="85339"/>
    <n v="19"/>
    <s v="EVRevolution"/>
    <m/>
    <m/>
    <x v="0"/>
    <n v="150000"/>
    <n v="0"/>
    <n v="0"/>
    <n v="3.7359999999999997E-2"/>
  </r>
  <r>
    <s v="P198"/>
    <s v="Twitter"/>
    <d v="2024-09-14T00:00:00"/>
    <s v="Image"/>
    <s v="Check out our latest image on twitter!"/>
    <n v="1048"/>
    <n v="374"/>
    <n v="450"/>
    <n v="9432"/>
    <n v="2030"/>
    <n v="8882"/>
    <n v="158"/>
    <s v="TeslaCoInnovation"/>
    <m/>
    <m/>
    <x v="2"/>
    <n v="0"/>
    <n v="0"/>
    <n v="0"/>
    <s v=""/>
  </r>
  <r>
    <s v="P199"/>
    <s v="YouTube"/>
    <d v="2024-11-30T00:00:00"/>
    <s v="Carousel"/>
    <s v="Check out our latest carousel on youtube!"/>
    <n v="2509"/>
    <n v="324"/>
    <n v="171"/>
    <n v="35126"/>
    <n v="3281"/>
    <n v="34685"/>
    <n v="277"/>
    <s v="TeslaCoInnovation"/>
    <m/>
    <m/>
    <x v="1"/>
    <n v="0"/>
    <n v="0"/>
    <n v="0"/>
    <s v=""/>
  </r>
  <r>
    <s v="P200"/>
    <s v="Facebook"/>
    <d v="2025-04-07T00:00:00"/>
    <s v="Reel"/>
    <s v="Check out our latest reel on facebook!"/>
    <n v="3718"/>
    <n v="385"/>
    <n v="310"/>
    <n v="70642"/>
    <n v="4646"/>
    <n v="69749"/>
    <n v="233"/>
    <s v="TeslaCoInnovation"/>
    <m/>
    <m/>
    <x v="1"/>
    <n v="0"/>
    <n v="0"/>
    <n v="0"/>
    <s v=""/>
  </r>
  <r>
    <s v="P201"/>
    <s v="Twitter"/>
    <d v="2025-01-15T00:00:00"/>
    <s v="Reel"/>
    <s v="Check out our latest reel on twitter!"/>
    <n v="802"/>
    <n v="262"/>
    <n v="244"/>
    <n v="14436"/>
    <n v="1357"/>
    <n v="14280"/>
    <n v="49"/>
    <s v="EVRevolution"/>
    <m/>
    <m/>
    <x v="0"/>
    <n v="150000"/>
    <n v="0"/>
    <n v="0"/>
    <n v="9.0466666666666664E-3"/>
  </r>
  <r>
    <s v="P202"/>
    <s v="Facebook"/>
    <d v="2024-06-02T00:00:00"/>
    <s v="Image"/>
    <s v="Check out our latest image on facebook!"/>
    <n v="1871"/>
    <n v="252"/>
    <n v="335"/>
    <n v="29936"/>
    <n v="2746"/>
    <n v="29576"/>
    <n v="288"/>
    <s v="EVRevolution"/>
    <m/>
    <m/>
    <x v="2"/>
    <n v="150000"/>
    <n v="0"/>
    <n v="0"/>
    <n v="1.8306666666666666E-2"/>
  </r>
  <r>
    <s v="P203"/>
    <s v="Instagram"/>
    <d v="2024-11-21T00:00:00"/>
    <s v="Carousel"/>
    <s v="Check out our latest carousel on instagram!"/>
    <n v="3773"/>
    <n v="299"/>
    <n v="38"/>
    <n v="71687"/>
    <n v="4396"/>
    <n v="71447"/>
    <n v="286"/>
    <s v="FutureOfDriving"/>
    <m/>
    <m/>
    <x v="0"/>
    <n v="0"/>
    <n v="0"/>
    <n v="0"/>
    <s v=""/>
  </r>
  <r>
    <s v="P204"/>
    <s v="Instagram"/>
    <d v="2025-01-01T00:00:00"/>
    <s v="Carousel"/>
    <s v="Check out our latest carousel on instagram!"/>
    <n v="2234"/>
    <n v="653"/>
    <n v="432"/>
    <n v="11170"/>
    <n v="3517"/>
    <n v="10569"/>
    <n v="198"/>
    <s v="FutureOfDriving"/>
    <m/>
    <m/>
    <x v="2"/>
    <n v="0"/>
    <n v="0"/>
    <n v="0"/>
    <s v=""/>
  </r>
  <r>
    <s v="P205"/>
    <s v="Twitter"/>
    <d v="2025-04-24T00:00:00"/>
    <s v="Video"/>
    <s v="Check out our latest video on twitter!"/>
    <n v="3820"/>
    <n v="697"/>
    <n v="268"/>
    <n v="45840"/>
    <n v="4956"/>
    <n v="45631"/>
    <n v="171"/>
    <s v="TeslaCoInnovation"/>
    <s v="SmoothLikeNitroTesla"/>
    <m/>
    <x v="3"/>
    <n v="0"/>
    <n v="250000"/>
    <n v="0"/>
    <n v="1.9824000000000001E-2"/>
  </r>
  <r>
    <s v="P206"/>
    <s v="Twitter"/>
    <d v="2024-06-24T00:00:00"/>
    <s v="Text"/>
    <s v="Check out our latest text on twitter!"/>
    <n v="941"/>
    <n v="121"/>
    <n v="458"/>
    <n v="14115"/>
    <n v="1607"/>
    <n v="13838"/>
    <n v="87"/>
    <s v="EVRevolution"/>
    <m/>
    <m/>
    <x v="0"/>
    <n v="150000"/>
    <n v="0"/>
    <n v="0"/>
    <n v="1.0713333333333333E-2"/>
  </r>
  <r>
    <s v="P207"/>
    <s v="Twitter"/>
    <d v="2024-12-29T00:00:00"/>
    <s v="Carousel"/>
    <s v="Check out our latest carousel on twitter!"/>
    <n v="4274"/>
    <n v="340"/>
    <n v="281"/>
    <n v="34192"/>
    <n v="5024"/>
    <n v="33446"/>
    <n v="129"/>
    <s v="TeslaCoInnovation"/>
    <s v="SmoothLikeNitroTesla"/>
    <m/>
    <x v="2"/>
    <n v="0"/>
    <n v="250000"/>
    <n v="0"/>
    <n v="2.0095999999999999E-2"/>
  </r>
  <r>
    <s v="P208"/>
    <s v="YouTube"/>
    <d v="2024-06-24T00:00:00"/>
    <s v="Video"/>
    <s v="Check out our latest video on youtube!"/>
    <n v="2949"/>
    <n v="476"/>
    <n v="403"/>
    <n v="44235"/>
    <n v="3963"/>
    <n v="43705"/>
    <n v="135"/>
    <s v="TeslaCoInnovation"/>
    <m/>
    <m/>
    <x v="1"/>
    <n v="0"/>
    <n v="0"/>
    <n v="0"/>
    <s v=""/>
  </r>
  <r>
    <s v="P209"/>
    <s v="Twitter"/>
    <d v="2025-03-19T00:00:00"/>
    <s v="Video"/>
    <s v="Check out our latest video on twitter!"/>
    <n v="3160"/>
    <n v="204"/>
    <n v="297"/>
    <n v="44240"/>
    <n v="3710"/>
    <n v="43666"/>
    <n v="49"/>
    <s v="FutureOfDriving"/>
    <s v="AnytimeIsTeslaTime"/>
    <m/>
    <x v="3"/>
    <n v="0"/>
    <n v="200000"/>
    <n v="0"/>
    <n v="1.8550000000000001E-2"/>
  </r>
  <r>
    <s v="P210"/>
    <s v="YouTube"/>
    <d v="2025-02-19T00:00:00"/>
    <s v="Image"/>
    <s v="Check out our latest image on youtube!"/>
    <n v="257"/>
    <n v="966"/>
    <n v="398"/>
    <n v="3341"/>
    <n v="1908"/>
    <n v="2753"/>
    <n v="287"/>
    <s v="FutureOfDriving"/>
    <m/>
    <m/>
    <x v="0"/>
    <n v="0"/>
    <n v="0"/>
    <n v="0"/>
    <s v=""/>
  </r>
  <r>
    <s v="P211"/>
    <s v="Twitter"/>
    <d v="2024-07-18T00:00:00"/>
    <s v="Carousel"/>
    <s v="Check out our latest carousel on twitter!"/>
    <n v="2120"/>
    <n v="38"/>
    <n v="212"/>
    <n v="12720"/>
    <n v="2391"/>
    <n v="12564"/>
    <n v="21"/>
    <s v="FutureOfDriving"/>
    <m/>
    <m/>
    <x v="3"/>
    <n v="0"/>
    <n v="0"/>
    <n v="0"/>
    <s v=""/>
  </r>
  <r>
    <s v="P212"/>
    <s v="YouTube"/>
    <d v="2025-03-03T00:00:00"/>
    <s v="Video"/>
    <s v="Check out our latest video on youtube!"/>
    <n v="3874"/>
    <n v="884"/>
    <n v="19"/>
    <n v="38740"/>
    <n v="4996"/>
    <n v="38552"/>
    <n v="219"/>
    <s v="TeslaCoInnovation"/>
    <m/>
    <m/>
    <x v="1"/>
    <n v="0"/>
    <n v="0"/>
    <n v="0"/>
    <s v=""/>
  </r>
  <r>
    <s v="P213"/>
    <s v="Facebook"/>
    <d v="2025-05-01T00:00:00"/>
    <s v="Carousel"/>
    <s v="Check out our latest carousel on facebook!"/>
    <n v="2696"/>
    <n v="628"/>
    <n v="443"/>
    <n v="45832"/>
    <n v="4015"/>
    <n v="45632"/>
    <n v="248"/>
    <s v="EVRevolution"/>
    <m/>
    <m/>
    <x v="3"/>
    <n v="150000"/>
    <n v="0"/>
    <n v="0"/>
    <n v="2.6766666666666668E-2"/>
  </r>
  <r>
    <s v="P214"/>
    <s v="Instagram"/>
    <d v="2024-12-23T00:00:00"/>
    <s v="Image"/>
    <s v="Check out our latest image on instagram!"/>
    <n v="521"/>
    <n v="746"/>
    <n v="315"/>
    <n v="4168"/>
    <n v="1864"/>
    <n v="3399"/>
    <n v="282"/>
    <s v="FutureOfDriving"/>
    <m/>
    <m/>
    <x v="1"/>
    <n v="0"/>
    <n v="0"/>
    <n v="0"/>
    <s v=""/>
  </r>
  <r>
    <s v="P215"/>
    <s v="Facebook"/>
    <d v="2025-05-06T00:00:00"/>
    <s v="Image"/>
    <s v="Check out our latest image on facebook!"/>
    <n v="4872"/>
    <n v="925"/>
    <n v="176"/>
    <n v="82824"/>
    <n v="6062"/>
    <n v="82543"/>
    <n v="89"/>
    <s v="EVRevolution"/>
    <m/>
    <m/>
    <x v="1"/>
    <n v="150000"/>
    <n v="0"/>
    <n v="0"/>
    <n v="4.0413333333333336E-2"/>
  </r>
  <r>
    <s v="P216"/>
    <s v="YouTube"/>
    <d v="2024-07-29T00:00:00"/>
    <s v="Story"/>
    <s v="Check out our latest story on youtube!"/>
    <n v="1509"/>
    <n v="88"/>
    <n v="163"/>
    <n v="30180"/>
    <n v="1879"/>
    <n v="29689"/>
    <n v="119"/>
    <s v="EVRevolution"/>
    <m/>
    <m/>
    <x v="1"/>
    <n v="150000"/>
    <n v="0"/>
    <n v="0"/>
    <n v="1.2526666666666667E-2"/>
  </r>
  <r>
    <s v="P217"/>
    <s v="Facebook"/>
    <d v="2024-12-03T00:00:00"/>
    <s v="Image"/>
    <s v="Check out our latest image on facebook!"/>
    <n v="4606"/>
    <n v="931"/>
    <n v="230"/>
    <n v="92120"/>
    <n v="5823"/>
    <n v="91440"/>
    <n v="56"/>
    <s v="TeslaCoInnovation"/>
    <m/>
    <m/>
    <x v="4"/>
    <n v="0"/>
    <n v="0"/>
    <n v="0"/>
    <s v=""/>
  </r>
  <r>
    <s v="P218"/>
    <s v="Facebook"/>
    <d v="2024-06-11T00:00:00"/>
    <s v="Carousel"/>
    <s v="Check out our latest carousel on facebook!"/>
    <n v="1869"/>
    <n v="453"/>
    <n v="490"/>
    <n v="14952"/>
    <n v="3087"/>
    <n v="14309"/>
    <n v="275"/>
    <s v="TeslaCoInnovation"/>
    <m/>
    <m/>
    <x v="3"/>
    <n v="0"/>
    <n v="0"/>
    <n v="0"/>
    <s v=""/>
  </r>
  <r>
    <s v="P219"/>
    <s v="Twitter"/>
    <d v="2025-01-28T00:00:00"/>
    <s v="Reel"/>
    <s v="Check out our latest reel on twitter!"/>
    <n v="1188"/>
    <n v="470"/>
    <n v="174"/>
    <n v="7128"/>
    <n v="2102"/>
    <n v="6145"/>
    <n v="270"/>
    <s v="TeslaCoInnovation"/>
    <m/>
    <m/>
    <x v="3"/>
    <n v="0"/>
    <n v="0"/>
    <n v="0"/>
    <s v=""/>
  </r>
  <r>
    <s v="P220"/>
    <s v="Instagram"/>
    <d v="2024-06-02T00:00:00"/>
    <s v="Story"/>
    <s v="Check out our latest story on instagram!"/>
    <n v="84"/>
    <n v="897"/>
    <n v="85"/>
    <n v="588"/>
    <n v="1078"/>
    <n v="8"/>
    <n v="12"/>
    <s v="EVRevolution"/>
    <m/>
    <m/>
    <x v="4"/>
    <n v="150000"/>
    <n v="0"/>
    <n v="0"/>
    <n v="7.1866666666666667E-3"/>
  </r>
  <r>
    <s v="P221"/>
    <s v="Facebook"/>
    <d v="2025-03-23T00:00:00"/>
    <s v="Video"/>
    <s v="Check out our latest video on facebook!"/>
    <n v="4453"/>
    <n v="111"/>
    <n v="420"/>
    <n v="31171"/>
    <n v="5007"/>
    <n v="30565"/>
    <n v="23"/>
    <s v="TeslaCoInnovation"/>
    <m/>
    <m/>
    <x v="4"/>
    <n v="0"/>
    <n v="0"/>
    <n v="0"/>
    <s v=""/>
  </r>
  <r>
    <s v="P222"/>
    <s v="Facebook"/>
    <d v="2024-10-08T00:00:00"/>
    <s v="Reel"/>
    <s v="Check out our latest reel on facebook!"/>
    <n v="1814"/>
    <n v="653"/>
    <n v="363"/>
    <n v="25396"/>
    <n v="2869"/>
    <n v="25286"/>
    <n v="39"/>
    <s v="FutureOfDriving"/>
    <s v="SmoothLikeNitroTesla"/>
    <m/>
    <x v="0"/>
    <n v="0"/>
    <n v="250000"/>
    <n v="0"/>
    <n v="1.1476E-2"/>
  </r>
  <r>
    <s v="P223"/>
    <s v="Twitter"/>
    <d v="2024-11-12T00:00:00"/>
    <s v="Image"/>
    <s v="Check out our latest image on twitter!"/>
    <n v="3338"/>
    <n v="277"/>
    <n v="118"/>
    <n v="60084"/>
    <n v="3985"/>
    <n v="59842"/>
    <n v="252"/>
    <s v="TeslaCoInnovation"/>
    <m/>
    <m/>
    <x v="4"/>
    <n v="0"/>
    <n v="0"/>
    <n v="0"/>
    <s v=""/>
  </r>
  <r>
    <s v="P224"/>
    <s v="Facebook"/>
    <d v="2025-05-13T00:00:00"/>
    <s v="Image"/>
    <s v="Check out our latest image on facebook!"/>
    <n v="602"/>
    <n v="594"/>
    <n v="156"/>
    <n v="4214"/>
    <n v="1516"/>
    <n v="3363"/>
    <n v="164"/>
    <s v="TeslaCoInnovation"/>
    <m/>
    <m/>
    <x v="2"/>
    <n v="0"/>
    <n v="0"/>
    <n v="0"/>
    <s v=""/>
  </r>
  <r>
    <s v="P225"/>
    <s v="Twitter"/>
    <d v="2024-06-20T00:00:00"/>
    <s v="Carousel"/>
    <s v="Check out our latest carousel on twitter!"/>
    <n v="4672"/>
    <n v="325"/>
    <n v="32"/>
    <n v="88768"/>
    <n v="5147"/>
    <n v="87833"/>
    <n v="118"/>
    <s v="EVRevolution"/>
    <m/>
    <m/>
    <x v="4"/>
    <n v="150000"/>
    <n v="0"/>
    <n v="0"/>
    <n v="3.4313333333333335E-2"/>
  </r>
  <r>
    <s v="P226"/>
    <s v="Instagram"/>
    <d v="2024-08-07T00:00:00"/>
    <s v="Carousel"/>
    <s v="Check out our latest carousel on instagram!"/>
    <n v="1741"/>
    <n v="164"/>
    <n v="318"/>
    <n v="8705"/>
    <n v="2344"/>
    <n v="8272"/>
    <n v="121"/>
    <s v="TeslaCoInnovation"/>
    <m/>
    <m/>
    <x v="4"/>
    <n v="0"/>
    <n v="0"/>
    <n v="0"/>
    <s v=""/>
  </r>
  <r>
    <s v="P227"/>
    <s v="Instagram"/>
    <d v="2024-06-12T00:00:00"/>
    <s v="Text"/>
    <s v="Check out our latest text on instagram!"/>
    <n v="246"/>
    <n v="149"/>
    <n v="130"/>
    <n v="4674"/>
    <n v="742"/>
    <n v="4390"/>
    <n v="217"/>
    <s v="FutureOfDriving"/>
    <m/>
    <m/>
    <x v="2"/>
    <n v="0"/>
    <n v="0"/>
    <n v="0"/>
    <s v=""/>
  </r>
  <r>
    <s v="P228"/>
    <s v="Instagram"/>
    <d v="2024-07-01T00:00:00"/>
    <s v="Story"/>
    <s v="Check out our latest story on instagram!"/>
    <n v="4808"/>
    <n v="772"/>
    <n v="320"/>
    <n v="72120"/>
    <n v="6095"/>
    <n v="71696"/>
    <n v="195"/>
    <s v="EVRevolution"/>
    <m/>
    <m/>
    <x v="0"/>
    <n v="150000"/>
    <n v="0"/>
    <n v="0"/>
    <n v="4.0633333333333334E-2"/>
  </r>
  <r>
    <s v="P229"/>
    <s v="Instagram"/>
    <d v="2024-07-03T00:00:00"/>
    <s v="Carousel"/>
    <s v="Check out our latest carousel on instagram!"/>
    <n v="4799"/>
    <n v="694"/>
    <n v="289"/>
    <n v="43191"/>
    <n v="5900"/>
    <n v="42228"/>
    <n v="118"/>
    <s v="TeslaCoInnovation"/>
    <m/>
    <m/>
    <x v="4"/>
    <n v="0"/>
    <n v="0"/>
    <n v="0"/>
    <s v=""/>
  </r>
  <r>
    <s v="P230"/>
    <s v="Facebook"/>
    <d v="2024-07-15T00:00:00"/>
    <s v="Reel"/>
    <s v="Check out our latest reel on facebook!"/>
    <n v="3663"/>
    <n v="17"/>
    <n v="295"/>
    <n v="51282"/>
    <n v="4059"/>
    <n v="50567"/>
    <n v="84"/>
    <s v="EVRevolution"/>
    <m/>
    <m/>
    <x v="2"/>
    <n v="150000"/>
    <n v="0"/>
    <n v="0"/>
    <n v="2.7060000000000001E-2"/>
  </r>
  <r>
    <s v="P231"/>
    <s v="Instagram"/>
    <d v="2025-05-01T00:00:00"/>
    <s v="Text"/>
    <s v="Check out our latest text on instagram!"/>
    <n v="1430"/>
    <n v="376"/>
    <n v="33"/>
    <n v="21450"/>
    <n v="2090"/>
    <n v="20509"/>
    <n v="251"/>
    <s v="FutureOfDriving"/>
    <m/>
    <m/>
    <x v="0"/>
    <n v="0"/>
    <n v="0"/>
    <n v="0"/>
    <s v=""/>
  </r>
  <r>
    <s v="P232"/>
    <s v="Twitter"/>
    <d v="2025-04-29T00:00:00"/>
    <s v="Story"/>
    <s v="Check out our latest story on twitter!"/>
    <n v="249"/>
    <n v="592"/>
    <n v="230"/>
    <n v="1494"/>
    <n v="1272"/>
    <n v="1044"/>
    <n v="201"/>
    <s v="EVRevolution"/>
    <m/>
    <m/>
    <x v="3"/>
    <n v="150000"/>
    <n v="0"/>
    <n v="0"/>
    <n v="8.4799999999999997E-3"/>
  </r>
  <r>
    <s v="P233"/>
    <s v="Facebook"/>
    <d v="2025-03-08T00:00:00"/>
    <s v="Image"/>
    <s v="Check out our latest image on facebook!"/>
    <n v="2382"/>
    <n v="265"/>
    <n v="134"/>
    <n v="38112"/>
    <n v="3030"/>
    <n v="37437"/>
    <n v="249"/>
    <s v="FutureOfDriving"/>
    <m/>
    <m/>
    <x v="3"/>
    <n v="0"/>
    <n v="0"/>
    <n v="0"/>
    <s v=""/>
  </r>
  <r>
    <s v="P234"/>
    <s v="Facebook"/>
    <d v="2024-06-01T00:00:00"/>
    <s v="Text"/>
    <s v="Check out our latest text on facebook!"/>
    <n v="1272"/>
    <n v="465"/>
    <n v="99"/>
    <n v="24168"/>
    <n v="1878"/>
    <n v="23719"/>
    <n v="42"/>
    <s v="TeslaCoInnovation"/>
    <m/>
    <m/>
    <x v="4"/>
    <n v="0"/>
    <n v="0"/>
    <n v="0"/>
    <s v=""/>
  </r>
  <r>
    <s v="P235"/>
    <s v="Facebook"/>
    <d v="2024-12-22T00:00:00"/>
    <s v="Image"/>
    <s v="Check out our latest image on facebook!"/>
    <n v="3196"/>
    <n v="941"/>
    <n v="376"/>
    <n v="35156"/>
    <n v="4754"/>
    <n v="34444"/>
    <n v="241"/>
    <s v="TeslaCoInnovation"/>
    <m/>
    <m/>
    <x v="2"/>
    <n v="0"/>
    <n v="0"/>
    <n v="0"/>
    <s v=""/>
  </r>
  <r>
    <s v="P236"/>
    <s v="Facebook"/>
    <d v="2024-08-19T00:00:00"/>
    <s v="Text"/>
    <s v="Check out our latest text on facebook!"/>
    <n v="1257"/>
    <n v="19"/>
    <n v="351"/>
    <n v="12570"/>
    <n v="1821"/>
    <n v="11660"/>
    <n v="194"/>
    <s v="FutureOfDriving"/>
    <s v="AnytimeIsTeslaTime"/>
    <s v="EVRevolution"/>
    <x v="1"/>
    <n v="0"/>
    <n v="200000"/>
    <n v="150000"/>
    <n v="5.2028571428571427E-3"/>
  </r>
  <r>
    <s v="P237"/>
    <s v="Instagram"/>
    <d v="2024-10-22T00:00:00"/>
    <s v="Story"/>
    <s v="Check out our latest story on instagram!"/>
    <n v="3770"/>
    <n v="917"/>
    <n v="129"/>
    <n v="71630"/>
    <n v="4892"/>
    <n v="71322"/>
    <n v="76"/>
    <s v="FutureOfDriving"/>
    <m/>
    <m/>
    <x v="0"/>
    <n v="0"/>
    <n v="0"/>
    <n v="0"/>
    <s v=""/>
  </r>
  <r>
    <s v="P238"/>
    <s v="Twitter"/>
    <d v="2024-07-16T00:00:00"/>
    <s v="Text"/>
    <s v="Check out our latest text on twitter!"/>
    <n v="4725"/>
    <n v="400"/>
    <n v="362"/>
    <n v="75600"/>
    <n v="5530"/>
    <n v="74927"/>
    <n v="43"/>
    <s v="FutureOfDriving"/>
    <m/>
    <m/>
    <x v="3"/>
    <n v="0"/>
    <n v="0"/>
    <n v="0"/>
    <s v=""/>
  </r>
  <r>
    <s v="P239"/>
    <s v="YouTube"/>
    <d v="2025-02-24T00:00:00"/>
    <s v="Text"/>
    <s v="Check out our latest text on youtube!"/>
    <n v="4188"/>
    <n v="942"/>
    <n v="118"/>
    <n v="20940"/>
    <n v="5350"/>
    <n v="20471"/>
    <n v="102"/>
    <s v="FutureOfDriving"/>
    <m/>
    <m/>
    <x v="4"/>
    <n v="0"/>
    <n v="0"/>
    <n v="0"/>
    <s v=""/>
  </r>
  <r>
    <s v="P240"/>
    <s v="Twitter"/>
    <d v="2024-08-26T00:00:00"/>
    <s v="Carousel"/>
    <s v="Check out our latest carousel on twitter!"/>
    <n v="929"/>
    <n v="192"/>
    <n v="322"/>
    <n v="16722"/>
    <n v="1588"/>
    <n v="15996"/>
    <n v="145"/>
    <s v="EVRevolution"/>
    <s v="TeslaCoInnovation"/>
    <s v="AnytimeIsTeslaTime"/>
    <x v="2"/>
    <n v="150000"/>
    <n v="0"/>
    <n v="200000"/>
    <n v="4.5371428571428568E-3"/>
  </r>
  <r>
    <s v="P241"/>
    <s v="Facebook"/>
    <d v="2025-01-18T00:00:00"/>
    <s v="Story"/>
    <s v="Check out our latest story on facebook!"/>
    <n v="4321"/>
    <n v="874"/>
    <n v="172"/>
    <n v="30247"/>
    <n v="5489"/>
    <n v="29254"/>
    <n v="122"/>
    <s v="TeslaCoInnovation"/>
    <m/>
    <m/>
    <x v="3"/>
    <n v="0"/>
    <n v="0"/>
    <n v="0"/>
    <s v=""/>
  </r>
  <r>
    <s v="P242"/>
    <s v="Facebook"/>
    <d v="2024-07-07T00:00:00"/>
    <s v="Reel"/>
    <s v="Check out our latest reel on facebook!"/>
    <n v="4767"/>
    <n v="190"/>
    <n v="340"/>
    <n v="28602"/>
    <n v="5507"/>
    <n v="28044"/>
    <n v="210"/>
    <s v="EVRevolution"/>
    <m/>
    <m/>
    <x v="2"/>
    <n v="150000"/>
    <n v="0"/>
    <n v="0"/>
    <n v="3.6713333333333334E-2"/>
  </r>
  <r>
    <s v="P243"/>
    <s v="Twitter"/>
    <d v="2025-03-06T00:00:00"/>
    <s v="Image"/>
    <s v="Check out our latest image on twitter!"/>
    <n v="3592"/>
    <n v="911"/>
    <n v="375"/>
    <n v="50288"/>
    <n v="4910"/>
    <n v="49490"/>
    <n v="32"/>
    <s v="FutureOfDriving"/>
    <m/>
    <m/>
    <x v="3"/>
    <n v="0"/>
    <n v="0"/>
    <n v="0"/>
    <s v=""/>
  </r>
  <r>
    <s v="P244"/>
    <s v="YouTube"/>
    <d v="2024-10-25T00:00:00"/>
    <s v="Video"/>
    <s v="Check out our latest video on youtube!"/>
    <n v="4661"/>
    <n v="935"/>
    <n v="433"/>
    <n v="23305"/>
    <n v="6092"/>
    <n v="22583"/>
    <n v="63"/>
    <s v="FutureOfDriving"/>
    <m/>
    <m/>
    <x v="2"/>
    <n v="0"/>
    <n v="0"/>
    <n v="0"/>
    <s v=""/>
  </r>
  <r>
    <s v="P245"/>
    <s v="Facebook"/>
    <d v="2025-01-12T00:00:00"/>
    <s v="Reel"/>
    <s v="Check out our latest reel on facebook!"/>
    <n v="4134"/>
    <n v="824"/>
    <n v="99"/>
    <n v="41340"/>
    <n v="5234"/>
    <n v="41050"/>
    <n v="177"/>
    <s v="EVRevolution"/>
    <m/>
    <m/>
    <x v="0"/>
    <n v="150000"/>
    <n v="0"/>
    <n v="0"/>
    <n v="3.4893333333333332E-2"/>
  </r>
  <r>
    <s v="P246"/>
    <s v="Facebook"/>
    <d v="2024-10-11T00:00:00"/>
    <s v="Image"/>
    <s v="Check out our latest image on facebook!"/>
    <n v="400"/>
    <n v="680"/>
    <n v="434"/>
    <n v="6400"/>
    <n v="1674"/>
    <n v="5472"/>
    <n v="160"/>
    <s v="FutureOfDriving"/>
    <m/>
    <m/>
    <x v="1"/>
    <n v="0"/>
    <n v="0"/>
    <n v="0"/>
    <s v=""/>
  </r>
  <r>
    <s v="P247"/>
    <s v="Facebook"/>
    <d v="2024-08-27T00:00:00"/>
    <s v="Reel"/>
    <s v="Check out our latest reel on facebook!"/>
    <n v="3960"/>
    <n v="266"/>
    <n v="8"/>
    <n v="35640"/>
    <n v="4442"/>
    <n v="34850"/>
    <n v="208"/>
    <s v="FutureOfDriving"/>
    <s v="EVRevolution"/>
    <s v="BetterWithTesla"/>
    <x v="4"/>
    <n v="0"/>
    <n v="150000"/>
    <n v="180000"/>
    <n v="1.346060606060606E-2"/>
  </r>
  <r>
    <s v="P248"/>
    <s v="Facebook"/>
    <d v="2025-02-02T00:00:00"/>
    <s v="Story"/>
    <s v="Check out our latest story on facebook!"/>
    <n v="886"/>
    <n v="126"/>
    <n v="153"/>
    <n v="4430"/>
    <n v="1377"/>
    <n v="4037"/>
    <n v="212"/>
    <s v="EVRevolution"/>
    <m/>
    <m/>
    <x v="4"/>
    <n v="150000"/>
    <n v="0"/>
    <n v="0"/>
    <n v="9.1800000000000007E-3"/>
  </r>
  <r>
    <s v="P249"/>
    <s v="Twitter"/>
    <d v="2024-07-18T00:00:00"/>
    <s v="Image"/>
    <s v="Check out our latest image on twitter!"/>
    <n v="827"/>
    <n v="77"/>
    <n v="402"/>
    <n v="14886"/>
    <n v="1560"/>
    <n v="14129"/>
    <n v="254"/>
    <s v="EVRevolution"/>
    <m/>
    <m/>
    <x v="1"/>
    <n v="150000"/>
    <n v="0"/>
    <n v="0"/>
    <n v="1.04E-2"/>
  </r>
  <r>
    <s v="P250"/>
    <s v="Facebook"/>
    <d v="2024-06-22T00:00:00"/>
    <s v="Reel"/>
    <s v="Check out our latest reel on facebook!"/>
    <n v="3813"/>
    <n v="935"/>
    <n v="274"/>
    <n v="68634"/>
    <n v="5273"/>
    <n v="68488"/>
    <n v="251"/>
    <s v="FutureOfDriving"/>
    <m/>
    <m/>
    <x v="4"/>
    <n v="0"/>
    <n v="0"/>
    <n v="0"/>
    <s v=""/>
  </r>
  <r>
    <s v="P251"/>
    <s v="Instagram"/>
    <d v="2025-03-27T00:00:00"/>
    <s v="Carousel"/>
    <s v="Check out our latest carousel on instagram!"/>
    <n v="1377"/>
    <n v="796"/>
    <n v="387"/>
    <n v="22032"/>
    <n v="2749"/>
    <n v="21869"/>
    <n v="189"/>
    <s v="FutureOfDriving"/>
    <m/>
    <m/>
    <x v="4"/>
    <n v="0"/>
    <n v="0"/>
    <n v="0"/>
    <s v=""/>
  </r>
  <r>
    <s v="P252"/>
    <s v="Facebook"/>
    <d v="2025-04-28T00:00:00"/>
    <s v="Carousel"/>
    <s v="Check out our latest carousel on facebook!"/>
    <n v="2089"/>
    <n v="476"/>
    <n v="69"/>
    <n v="16712"/>
    <n v="2698"/>
    <n v="16309"/>
    <n v="64"/>
    <s v="FutureOfDriving"/>
    <m/>
    <m/>
    <x v="2"/>
    <n v="0"/>
    <n v="0"/>
    <n v="0"/>
    <s v=""/>
  </r>
  <r>
    <s v="P253"/>
    <s v="Twitter"/>
    <d v="2024-08-03T00:00:00"/>
    <s v="Reel"/>
    <s v="Check out our latest reel on twitter!"/>
    <n v="3791"/>
    <n v="593"/>
    <n v="228"/>
    <n v="53074"/>
    <n v="4817"/>
    <n v="52613"/>
    <n v="205"/>
    <s v="EVRevolution"/>
    <m/>
    <m/>
    <x v="4"/>
    <n v="150000"/>
    <n v="0"/>
    <n v="0"/>
    <n v="3.2113333333333334E-2"/>
  </r>
  <r>
    <s v="P254"/>
    <s v="Twitter"/>
    <d v="2025-01-14T00:00:00"/>
    <s v="Image"/>
    <s v="Check out our latest image on twitter!"/>
    <n v="2692"/>
    <n v="115"/>
    <n v="64"/>
    <n v="21536"/>
    <n v="3095"/>
    <n v="21120"/>
    <n v="224"/>
    <s v="FutureOfDriving"/>
    <m/>
    <m/>
    <x v="1"/>
    <n v="0"/>
    <n v="0"/>
    <n v="0"/>
    <s v=""/>
  </r>
  <r>
    <s v="P255"/>
    <s v="Facebook"/>
    <d v="2025-04-03T00:00:00"/>
    <s v="Story"/>
    <s v="Check out our latest story on facebook!"/>
    <n v="3767"/>
    <n v="514"/>
    <n v="238"/>
    <n v="37670"/>
    <n v="4745"/>
    <n v="36807"/>
    <n v="226"/>
    <s v="FutureOfDriving"/>
    <m/>
    <m/>
    <x v="3"/>
    <n v="0"/>
    <n v="0"/>
    <n v="0"/>
    <s v=""/>
  </r>
  <r>
    <s v="P256"/>
    <s v="YouTube"/>
    <d v="2024-09-18T00:00:00"/>
    <s v="Carousel"/>
    <s v="Check out our latest carousel on youtube!"/>
    <n v="2143"/>
    <n v="12"/>
    <n v="204"/>
    <n v="40717"/>
    <n v="2607"/>
    <n v="40125"/>
    <n v="248"/>
    <s v="EVRevolution"/>
    <m/>
    <m/>
    <x v="1"/>
    <n v="150000"/>
    <n v="0"/>
    <n v="0"/>
    <n v="1.738E-2"/>
  </r>
  <r>
    <s v="P257"/>
    <s v="Facebook"/>
    <d v="2025-04-06T00:00:00"/>
    <s v="Image"/>
    <s v="Check out our latest image on facebook!"/>
    <n v="3090"/>
    <n v="697"/>
    <n v="164"/>
    <n v="49440"/>
    <n v="3976"/>
    <n v="48524"/>
    <n v="25"/>
    <s v="EVRevolution"/>
    <s v="EVRevolution"/>
    <s v="BetterWithTesla"/>
    <x v="1"/>
    <n v="150000"/>
    <n v="150000"/>
    <n v="180000"/>
    <n v="8.2833333333333335E-3"/>
  </r>
  <r>
    <s v="P258"/>
    <s v="Instagram"/>
    <d v="2024-08-05T00:00:00"/>
    <s v="Story"/>
    <s v="Check out our latest story on instagram!"/>
    <n v="3601"/>
    <n v="695"/>
    <n v="75"/>
    <n v="21606"/>
    <n v="4543"/>
    <n v="21454"/>
    <n v="172"/>
    <s v="EVRevolution"/>
    <m/>
    <m/>
    <x v="1"/>
    <n v="150000"/>
    <n v="0"/>
    <n v="0"/>
    <n v="3.0286666666666667E-2"/>
  </r>
  <r>
    <s v="P259"/>
    <s v="Facebook"/>
    <d v="2025-02-10T00:00:00"/>
    <s v="Text"/>
    <s v="Check out our latest text on facebook!"/>
    <n v="562"/>
    <n v="158"/>
    <n v="149"/>
    <n v="3372"/>
    <n v="962"/>
    <n v="2940"/>
    <n v="93"/>
    <s v="TeslaCoInnovation"/>
    <m/>
    <m/>
    <x v="0"/>
    <n v="0"/>
    <n v="0"/>
    <n v="0"/>
    <s v=""/>
  </r>
  <r>
    <s v="P260"/>
    <s v="Instagram"/>
    <d v="2025-02-12T00:00:00"/>
    <s v="Story"/>
    <s v="Check out our latest story on instagram!"/>
    <n v="4332"/>
    <n v="771"/>
    <n v="219"/>
    <n v="60648"/>
    <n v="5332"/>
    <n v="60397"/>
    <n v="10"/>
    <s v="TeslaCoInnovation"/>
    <s v="EVRevolution"/>
    <s v="BetterWithTesla"/>
    <x v="2"/>
    <n v="0"/>
    <n v="150000"/>
    <n v="180000"/>
    <n v="1.6157575757575756E-2"/>
  </r>
  <r>
    <s v="P261"/>
    <s v="Instagram"/>
    <d v="2024-10-27T00:00:00"/>
    <s v="Image"/>
    <s v="Check out our latest image on instagram!"/>
    <n v="4853"/>
    <n v="837"/>
    <n v="340"/>
    <n v="72795"/>
    <n v="6200"/>
    <n v="72237"/>
    <n v="170"/>
    <s v="EVRevolution"/>
    <m/>
    <m/>
    <x v="0"/>
    <n v="150000"/>
    <n v="0"/>
    <n v="0"/>
    <n v="4.1333333333333333E-2"/>
  </r>
  <r>
    <s v="P262"/>
    <s v="YouTube"/>
    <d v="2025-01-18T00:00:00"/>
    <s v="Image"/>
    <s v="Check out our latest image on youtube!"/>
    <n v="1206"/>
    <n v="238"/>
    <n v="36"/>
    <n v="9648"/>
    <n v="1717"/>
    <n v="9417"/>
    <n v="237"/>
    <s v="TeslaCoInnovation"/>
    <m/>
    <m/>
    <x v="4"/>
    <n v="0"/>
    <n v="0"/>
    <n v="0"/>
    <s v=""/>
  </r>
  <r>
    <s v="P263"/>
    <s v="Instagram"/>
    <d v="2024-08-20T00:00:00"/>
    <s v="Reel"/>
    <s v="Check out our latest reel on instagram!"/>
    <n v="2603"/>
    <n v="690"/>
    <n v="205"/>
    <n v="13015"/>
    <n v="3518"/>
    <n v="12130"/>
    <n v="20"/>
    <s v="FutureOfDriving"/>
    <m/>
    <m/>
    <x v="1"/>
    <n v="0"/>
    <n v="0"/>
    <n v="0"/>
    <s v=""/>
  </r>
  <r>
    <s v="P264"/>
    <s v="Twitter"/>
    <d v="2025-01-30T00:00:00"/>
    <s v="Image"/>
    <s v="Check out our latest image on twitter!"/>
    <n v="59"/>
    <n v="163"/>
    <n v="93"/>
    <n v="590"/>
    <n v="608"/>
    <n v="475"/>
    <n v="293"/>
    <s v="TeslaCoInnovation"/>
    <m/>
    <m/>
    <x v="1"/>
    <n v="0"/>
    <n v="0"/>
    <n v="0"/>
    <s v=""/>
  </r>
  <r>
    <s v="P265"/>
    <s v="Twitter"/>
    <d v="2025-02-20T00:00:00"/>
    <s v="Carousel"/>
    <s v="Check out our latest carousel on twitter!"/>
    <n v="1877"/>
    <n v="745"/>
    <n v="225"/>
    <n v="11262"/>
    <n v="2888"/>
    <n v="10967"/>
    <n v="41"/>
    <s v="EVRevolution"/>
    <m/>
    <m/>
    <x v="3"/>
    <n v="150000"/>
    <n v="0"/>
    <n v="0"/>
    <n v="1.9253333333333334E-2"/>
  </r>
  <r>
    <s v="P266"/>
    <s v="Facebook"/>
    <d v="2024-11-25T00:00:00"/>
    <s v="Story"/>
    <s v="Check out our latest story on facebook!"/>
    <n v="4182"/>
    <n v="640"/>
    <n v="240"/>
    <n v="50184"/>
    <n v="5072"/>
    <n v="49351"/>
    <n v="10"/>
    <s v="TeslaCoInnovation"/>
    <m/>
    <m/>
    <x v="2"/>
    <n v="0"/>
    <n v="0"/>
    <n v="0"/>
    <s v=""/>
  </r>
  <r>
    <s v="P267"/>
    <s v="Twitter"/>
    <d v="2024-10-04T00:00:00"/>
    <s v="Reel"/>
    <s v="Check out our latest reel on twitter!"/>
    <n v="4187"/>
    <n v="66"/>
    <n v="31"/>
    <n v="66992"/>
    <n v="4346"/>
    <n v="66614"/>
    <n v="62"/>
    <s v="FutureOfDriving"/>
    <m/>
    <m/>
    <x v="4"/>
    <n v="0"/>
    <n v="0"/>
    <n v="0"/>
    <s v=""/>
  </r>
  <r>
    <s v="P268"/>
    <s v="Instagram"/>
    <d v="2025-04-13T00:00:00"/>
    <s v="Reel"/>
    <s v="Check out our latest reel on instagram!"/>
    <n v="4579"/>
    <n v="125"/>
    <n v="300"/>
    <n v="59527"/>
    <n v="5273"/>
    <n v="59400"/>
    <n v="269"/>
    <s v="EVRevolution"/>
    <m/>
    <m/>
    <x v="0"/>
    <n v="150000"/>
    <n v="0"/>
    <n v="0"/>
    <n v="3.5153333333333335E-2"/>
  </r>
  <r>
    <s v="P269"/>
    <s v="Instagram"/>
    <d v="2024-11-05T00:00:00"/>
    <s v="Video"/>
    <s v="Check out our latest video on instagram!"/>
    <n v="4561"/>
    <n v="51"/>
    <n v="441"/>
    <n v="22805"/>
    <n v="5098"/>
    <n v="21890"/>
    <n v="45"/>
    <s v="TeslaCoInnovation"/>
    <m/>
    <m/>
    <x v="1"/>
    <n v="0"/>
    <n v="0"/>
    <n v="0"/>
    <s v=""/>
  </r>
  <r>
    <s v="P270"/>
    <s v="YouTube"/>
    <d v="2025-01-15T00:00:00"/>
    <s v="Reel"/>
    <s v="Check out our latest reel on youtube!"/>
    <n v="3774"/>
    <n v="239"/>
    <n v="39"/>
    <n v="60384"/>
    <n v="4293"/>
    <n v="59490"/>
    <n v="241"/>
    <s v="TeslaCoInnovation"/>
    <m/>
    <m/>
    <x v="2"/>
    <n v="0"/>
    <n v="0"/>
    <n v="0"/>
    <s v=""/>
  </r>
  <r>
    <s v="P271"/>
    <s v="Instagram"/>
    <d v="2024-10-17T00:00:00"/>
    <s v="Video"/>
    <s v="Check out our latest video on instagram!"/>
    <n v="3575"/>
    <n v="749"/>
    <n v="111"/>
    <n v="21450"/>
    <n v="4630"/>
    <n v="20785"/>
    <n v="195"/>
    <s v="EVRevolution"/>
    <m/>
    <m/>
    <x v="1"/>
    <n v="150000"/>
    <n v="0"/>
    <n v="0"/>
    <n v="3.0866666666666667E-2"/>
  </r>
  <r>
    <s v="P272"/>
    <s v="Instagram"/>
    <d v="2025-03-27T00:00:00"/>
    <s v="Text"/>
    <s v="Check out our latest text on instagram!"/>
    <n v="4941"/>
    <n v="414"/>
    <n v="266"/>
    <n v="39528"/>
    <n v="5838"/>
    <n v="39154"/>
    <n v="217"/>
    <s v="TeslaCoInnovation"/>
    <m/>
    <m/>
    <x v="2"/>
    <n v="0"/>
    <n v="0"/>
    <n v="0"/>
    <s v=""/>
  </r>
  <r>
    <s v="P273"/>
    <s v="YouTube"/>
    <d v="2024-10-12T00:00:00"/>
    <s v="Story"/>
    <s v="Check out our latest story on youtube!"/>
    <n v="3641"/>
    <n v="226"/>
    <n v="46"/>
    <n v="40051"/>
    <n v="4209"/>
    <n v="39319"/>
    <n v="296"/>
    <s v="EVRevolution"/>
    <m/>
    <m/>
    <x v="3"/>
    <n v="150000"/>
    <n v="0"/>
    <n v="0"/>
    <n v="2.8060000000000002E-2"/>
  </r>
  <r>
    <s v="P274"/>
    <s v="Twitter"/>
    <d v="2025-01-01T00:00:00"/>
    <s v="Carousel"/>
    <s v="Check out our latest carousel on twitter!"/>
    <n v="3535"/>
    <n v="494"/>
    <n v="152"/>
    <n v="53025"/>
    <n v="4225"/>
    <n v="52791"/>
    <n v="44"/>
    <s v="TeslaCoInnovation"/>
    <m/>
    <m/>
    <x v="3"/>
    <n v="0"/>
    <n v="0"/>
    <n v="0"/>
    <s v=""/>
  </r>
  <r>
    <s v="P275"/>
    <s v="Facebook"/>
    <d v="2024-08-05T00:00:00"/>
    <s v="Reel"/>
    <s v="Check out our latest reel on facebook!"/>
    <n v="1741"/>
    <n v="831"/>
    <n v="345"/>
    <n v="17410"/>
    <n v="2975"/>
    <n v="16844"/>
    <n v="58"/>
    <s v="EVRevolution"/>
    <m/>
    <m/>
    <x v="2"/>
    <n v="150000"/>
    <n v="0"/>
    <n v="0"/>
    <n v="1.9833333333333335E-2"/>
  </r>
  <r>
    <s v="P276"/>
    <s v="Twitter"/>
    <d v="2024-06-07T00:00:00"/>
    <s v="Carousel"/>
    <s v="Check out our latest carousel on twitter!"/>
    <n v="1556"/>
    <n v="195"/>
    <n v="131"/>
    <n v="9336"/>
    <n v="2019"/>
    <n v="8875"/>
    <n v="137"/>
    <s v="TeslaCoInnovation"/>
    <m/>
    <m/>
    <x v="1"/>
    <n v="0"/>
    <n v="0"/>
    <n v="0"/>
    <s v=""/>
  </r>
  <r>
    <s v="P277"/>
    <s v="Facebook"/>
    <d v="2025-04-06T00:00:00"/>
    <s v="Image"/>
    <s v="Check out our latest image on facebook!"/>
    <n v="4236"/>
    <n v="711"/>
    <n v="298"/>
    <n v="21180"/>
    <n v="5483"/>
    <n v="20516"/>
    <n v="238"/>
    <s v="FutureOfDriving"/>
    <m/>
    <m/>
    <x v="0"/>
    <n v="0"/>
    <n v="0"/>
    <n v="0"/>
    <s v=""/>
  </r>
  <r>
    <s v="P278"/>
    <s v="Twitter"/>
    <d v="2024-11-26T00:00:00"/>
    <s v="Text"/>
    <s v="Check out our latest text on twitter!"/>
    <n v="4516"/>
    <n v="836"/>
    <n v="169"/>
    <n v="49676"/>
    <n v="5803"/>
    <n v="49257"/>
    <n v="282"/>
    <s v="EVRevolution"/>
    <m/>
    <m/>
    <x v="3"/>
    <n v="150000"/>
    <n v="0"/>
    <n v="0"/>
    <n v="3.8686666666666668E-2"/>
  </r>
  <r>
    <s v="P279"/>
    <s v="YouTube"/>
    <d v="2024-09-02T00:00:00"/>
    <s v="Image"/>
    <s v="Check out our latest image on youtube!"/>
    <n v="4905"/>
    <n v="845"/>
    <n v="129"/>
    <n v="98100"/>
    <n v="6158"/>
    <n v="97772"/>
    <n v="279"/>
    <s v="TeslaCoInnovation"/>
    <m/>
    <m/>
    <x v="1"/>
    <n v="0"/>
    <n v="0"/>
    <n v="0"/>
    <s v=""/>
  </r>
  <r>
    <s v="P280"/>
    <s v="YouTube"/>
    <d v="2024-10-21T00:00:00"/>
    <s v="Video"/>
    <s v="Check out our latest video on youtube!"/>
    <n v="4275"/>
    <n v="680"/>
    <n v="385"/>
    <n v="64125"/>
    <n v="5444"/>
    <n v="63650"/>
    <n v="104"/>
    <s v="EVRevolution"/>
    <s v="TeslaCoInnovation"/>
    <s v="AnytimeIsTeslaTime"/>
    <x v="3"/>
    <n v="150000"/>
    <n v="0"/>
    <n v="200000"/>
    <n v="1.5554285714285715E-2"/>
  </r>
  <r>
    <s v="P281"/>
    <s v="YouTube"/>
    <d v="2025-03-22T00:00:00"/>
    <s v="Image"/>
    <s v="Check out our latest image on youtube!"/>
    <n v="3166"/>
    <n v="90"/>
    <n v="341"/>
    <n v="56988"/>
    <n v="3732"/>
    <n v="56125"/>
    <n v="135"/>
    <s v="EVRevolution"/>
    <m/>
    <m/>
    <x v="1"/>
    <n v="150000"/>
    <n v="0"/>
    <n v="0"/>
    <n v="2.4879999999999999E-2"/>
  </r>
  <r>
    <s v="P282"/>
    <s v="Instagram"/>
    <d v="2024-10-03T00:00:00"/>
    <s v="Video"/>
    <s v="Check out our latest video on instagram!"/>
    <n v="1488"/>
    <n v="417"/>
    <n v="168"/>
    <n v="19344"/>
    <n v="2103"/>
    <n v="18395"/>
    <n v="30"/>
    <s v="FutureOfDriving"/>
    <m/>
    <m/>
    <x v="2"/>
    <n v="0"/>
    <n v="0"/>
    <n v="0"/>
    <s v=""/>
  </r>
  <r>
    <s v="P283"/>
    <s v="Twitter"/>
    <d v="2025-05-09T00:00:00"/>
    <s v="Reel"/>
    <s v="Check out our latest reel on twitter!"/>
    <n v="3367"/>
    <n v="302"/>
    <n v="57"/>
    <n v="63973"/>
    <n v="3883"/>
    <n v="63789"/>
    <n v="157"/>
    <s v="FutureOfDriving"/>
    <m/>
    <m/>
    <x v="1"/>
    <n v="0"/>
    <n v="0"/>
    <n v="0"/>
    <s v=""/>
  </r>
  <r>
    <s v="P284"/>
    <s v="Twitter"/>
    <d v="2024-09-17T00:00:00"/>
    <s v="Text"/>
    <s v="Check out our latest text on twitter!"/>
    <n v="571"/>
    <n v="190"/>
    <n v="352"/>
    <n v="9707"/>
    <n v="1344"/>
    <n v="9418"/>
    <n v="231"/>
    <s v="TeslaCoInnovation"/>
    <m/>
    <m/>
    <x v="3"/>
    <n v="0"/>
    <n v="0"/>
    <n v="0"/>
    <s v=""/>
  </r>
  <r>
    <s v="P285"/>
    <s v="YouTube"/>
    <d v="2024-07-18T00:00:00"/>
    <s v="Text"/>
    <s v="Check out our latest text on youtube!"/>
    <n v="4021"/>
    <n v="794"/>
    <n v="77"/>
    <n v="36189"/>
    <n v="5066"/>
    <n v="35505"/>
    <n v="174"/>
    <s v="EVRevolution"/>
    <m/>
    <m/>
    <x v="4"/>
    <n v="150000"/>
    <n v="0"/>
    <n v="0"/>
    <n v="3.3773333333333336E-2"/>
  </r>
  <r>
    <s v="P286"/>
    <s v="YouTube"/>
    <d v="2024-09-25T00:00:00"/>
    <s v="Video"/>
    <s v="Check out our latest video on youtube!"/>
    <n v="3389"/>
    <n v="344"/>
    <n v="229"/>
    <n v="20334"/>
    <n v="4190"/>
    <n v="19443"/>
    <n v="228"/>
    <s v="FutureOfDriving"/>
    <m/>
    <m/>
    <x v="2"/>
    <n v="0"/>
    <n v="0"/>
    <n v="0"/>
    <s v=""/>
  </r>
  <r>
    <s v="P287"/>
    <s v="Instagram"/>
    <d v="2024-08-15T00:00:00"/>
    <s v="Reel"/>
    <s v="Check out our latest reel on instagram!"/>
    <n v="1164"/>
    <n v="616"/>
    <n v="324"/>
    <n v="6984"/>
    <n v="2186"/>
    <n v="6636"/>
    <n v="82"/>
    <s v="EVRevolution"/>
    <m/>
    <m/>
    <x v="0"/>
    <n v="150000"/>
    <n v="0"/>
    <n v="0"/>
    <n v="1.4573333333333334E-2"/>
  </r>
  <r>
    <s v="P288"/>
    <s v="YouTube"/>
    <d v="2025-04-17T00:00:00"/>
    <s v="Carousel"/>
    <s v="Check out our latest carousel on youtube!"/>
    <n v="4780"/>
    <n v="691"/>
    <n v="380"/>
    <n v="86040"/>
    <n v="6113"/>
    <n v="85743"/>
    <n v="262"/>
    <s v="FutureOfDriving"/>
    <m/>
    <m/>
    <x v="2"/>
    <n v="0"/>
    <n v="0"/>
    <n v="0"/>
    <s v=""/>
  </r>
  <r>
    <s v="P289"/>
    <s v="Facebook"/>
    <d v="2024-11-28T00:00:00"/>
    <s v="Carousel"/>
    <s v="Check out our latest carousel on facebook!"/>
    <n v="2751"/>
    <n v="33"/>
    <n v="430"/>
    <n v="44016"/>
    <n v="3343"/>
    <n v="43415"/>
    <n v="129"/>
    <s v="FutureOfDriving"/>
    <m/>
    <m/>
    <x v="4"/>
    <n v="0"/>
    <n v="0"/>
    <n v="0"/>
    <s v=""/>
  </r>
  <r>
    <s v="P290"/>
    <s v="Instagram"/>
    <d v="2024-12-20T00:00:00"/>
    <s v="Carousel"/>
    <s v="Check out our latest carousel on instagram!"/>
    <n v="2107"/>
    <n v="550"/>
    <n v="349"/>
    <n v="35819"/>
    <n v="3197"/>
    <n v="35340"/>
    <n v="191"/>
    <s v="EVRevolution"/>
    <m/>
    <m/>
    <x v="3"/>
    <n v="150000"/>
    <n v="0"/>
    <n v="0"/>
    <n v="2.1313333333333333E-2"/>
  </r>
  <r>
    <s v="P291"/>
    <s v="Facebook"/>
    <d v="2024-11-06T00:00:00"/>
    <s v="Video"/>
    <s v="Check out our latest video on facebook!"/>
    <n v="4663"/>
    <n v="145"/>
    <n v="225"/>
    <n v="69945"/>
    <n v="5068"/>
    <n v="69596"/>
    <n v="35"/>
    <s v="EVRevolution"/>
    <m/>
    <m/>
    <x v="3"/>
    <n v="150000"/>
    <n v="0"/>
    <n v="0"/>
    <n v="3.3786666666666666E-2"/>
  </r>
  <r>
    <s v="P292"/>
    <s v="Facebook"/>
    <d v="2024-11-17T00:00:00"/>
    <s v="Text"/>
    <s v="Check out our latest text on facebook!"/>
    <n v="880"/>
    <n v="297"/>
    <n v="345"/>
    <n v="12320"/>
    <n v="1760"/>
    <n v="11978"/>
    <n v="238"/>
    <s v="TeslaCoInnovation"/>
    <s v="AnytimeIsTeslaTime"/>
    <m/>
    <x v="4"/>
    <n v="0"/>
    <n v="200000"/>
    <n v="0"/>
    <n v="8.8000000000000005E-3"/>
  </r>
  <r>
    <s v="P293"/>
    <s v="Facebook"/>
    <d v="2025-05-14T00:00:00"/>
    <s v="Text"/>
    <s v="Check out our latest text on facebook!"/>
    <n v="2634"/>
    <n v="726"/>
    <n v="241"/>
    <n v="28974"/>
    <n v="3878"/>
    <n v="28102"/>
    <n v="277"/>
    <s v="EVRevolution"/>
    <m/>
    <m/>
    <x v="0"/>
    <n v="150000"/>
    <n v="0"/>
    <n v="0"/>
    <n v="2.5853333333333332E-2"/>
  </r>
  <r>
    <s v="P294"/>
    <s v="Facebook"/>
    <d v="2024-06-19T00:00:00"/>
    <s v="Carousel"/>
    <s v="Check out our latest carousel on facebook!"/>
    <n v="4731"/>
    <n v="173"/>
    <n v="276"/>
    <n v="28386"/>
    <n v="5269"/>
    <n v="28185"/>
    <n v="89"/>
    <s v="EVRevolution"/>
    <m/>
    <m/>
    <x v="2"/>
    <n v="150000"/>
    <n v="0"/>
    <n v="0"/>
    <n v="3.5126666666666667E-2"/>
  </r>
  <r>
    <s v="P295"/>
    <s v="Twitter"/>
    <d v="2025-05-06T00:00:00"/>
    <s v="Image"/>
    <s v="Check out our latest image on twitter!"/>
    <n v="1952"/>
    <n v="344"/>
    <n v="287"/>
    <n v="15616"/>
    <n v="2818"/>
    <n v="15403"/>
    <n v="235"/>
    <s v="FutureOfDriving"/>
    <s v="TeslaCoInnovation"/>
    <s v="AnytimeIsTeslaTime"/>
    <x v="1"/>
    <n v="0"/>
    <n v="0"/>
    <n v="200000"/>
    <n v="1.409E-2"/>
  </r>
  <r>
    <s v="P296"/>
    <s v="Twitter"/>
    <d v="2025-02-11T00:00:00"/>
    <s v="Video"/>
    <s v="Check out our latest video on twitter!"/>
    <n v="3440"/>
    <n v="13"/>
    <n v="20"/>
    <n v="58480"/>
    <n v="3683"/>
    <n v="58146"/>
    <n v="210"/>
    <s v="TeslaCoInnovation"/>
    <s v="SmoothLikeNitroTesla"/>
    <m/>
    <x v="3"/>
    <n v="0"/>
    <n v="250000"/>
    <n v="0"/>
    <n v="1.4732E-2"/>
  </r>
  <r>
    <s v="P297"/>
    <s v="Twitter"/>
    <d v="2024-12-24T00:00:00"/>
    <s v="Text"/>
    <s v="Check out our latest text on twitter!"/>
    <n v="2166"/>
    <n v="354"/>
    <n v="117"/>
    <n v="10830"/>
    <n v="2661"/>
    <n v="10245"/>
    <n v="24"/>
    <s v="EVRevolution"/>
    <m/>
    <m/>
    <x v="3"/>
    <n v="150000"/>
    <n v="0"/>
    <n v="0"/>
    <n v="1.7739999999999999E-2"/>
  </r>
  <r>
    <s v="P298"/>
    <s v="Facebook"/>
    <d v="2024-10-24T00:00:00"/>
    <s v="Image"/>
    <s v="Check out our latest image on facebook!"/>
    <n v="4303"/>
    <n v="451"/>
    <n v="286"/>
    <n v="86060"/>
    <n v="5054"/>
    <n v="85823"/>
    <n v="14"/>
    <s v="TeslaCoInnovation"/>
    <m/>
    <m/>
    <x v="2"/>
    <n v="0"/>
    <n v="0"/>
    <n v="0"/>
    <s v=""/>
  </r>
  <r>
    <s v="P299"/>
    <s v="Facebook"/>
    <d v="2024-08-26T00:00:00"/>
    <s v="Image"/>
    <s v="Check out our latest image on facebook!"/>
    <n v="2581"/>
    <n v="517"/>
    <n v="117"/>
    <n v="23229"/>
    <n v="3285"/>
    <n v="22331"/>
    <n v="70"/>
    <s v="FutureOfDriving"/>
    <m/>
    <m/>
    <x v="2"/>
    <n v="0"/>
    <n v="0"/>
    <n v="0"/>
    <s v=""/>
  </r>
  <r>
    <s v="P300"/>
    <s v="Twitter"/>
    <d v="2024-08-31T00:00:00"/>
    <s v="Carousel"/>
    <s v="Check out our latest carousel on twitter!"/>
    <n v="4494"/>
    <n v="717"/>
    <n v="45"/>
    <n v="62916"/>
    <n v="5447"/>
    <n v="62688"/>
    <n v="191"/>
    <s v="TeslaCoInnovation"/>
    <s v="EVRevolution"/>
    <s v="BetterWithTesla"/>
    <x v="0"/>
    <n v="0"/>
    <n v="150000"/>
    <n v="180000"/>
    <n v="1.6506060606060607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004"/>
    <n v="21675"/>
    <n v="15"/>
    <s v="FutureOfDriving"/>
    <s v="AnytimeIsTeslaTime"/>
    <m/>
    <x v="0"/>
    <n v="0"/>
    <n v="200000"/>
    <n v="0"/>
    <n v="1.0019999999999999E-2"/>
    <n v="9.0759753593429152E-2"/>
  </r>
  <r>
    <s v="P002"/>
    <s v="Twitter"/>
    <d v="2025-04-03T00:00:00"/>
    <s v="Text"/>
    <s v="Check out our latest text on twitter!"/>
    <n v="4054"/>
    <n v="389"/>
    <n v="493"/>
    <n v="64864"/>
    <n v="5053"/>
    <n v="64383"/>
    <n v="117"/>
    <s v="TeslaCoInnovation"/>
    <s v="BetterWithTesla"/>
    <m/>
    <x v="1"/>
    <n v="0"/>
    <n v="180000"/>
    <n v="0"/>
    <n v="2.8072222222222221E-2"/>
    <n v="7.6097681302417369E-2"/>
  </r>
  <r>
    <s v="P003"/>
    <s v="YouTube"/>
    <d v="2025-05-12T00:00:00"/>
    <s v="Reel"/>
    <s v="Check out our latest reel on youtube!"/>
    <n v="2795"/>
    <n v="105"/>
    <n v="49"/>
    <n v="53105"/>
    <n v="3153"/>
    <n v="52307"/>
    <n v="204"/>
    <s v="TeslaCoInnovation"/>
    <m/>
    <m/>
    <x v="2"/>
    <n v="0"/>
    <n v="0"/>
    <n v="0"/>
    <s v=""/>
    <n v="5.5531494209584788E-2"/>
  </r>
  <r>
    <s v="P004"/>
    <s v="Instagram"/>
    <d v="2024-08-12T00:00:00"/>
    <s v="Story"/>
    <s v="Check out our latest story on instagram!"/>
    <n v="2404"/>
    <n v="363"/>
    <n v="138"/>
    <n v="19232"/>
    <n v="3033"/>
    <n v="18636"/>
    <n v="128"/>
    <s v="EVRevolution"/>
    <m/>
    <m/>
    <x v="3"/>
    <n v="150000"/>
    <n v="0"/>
    <n v="0"/>
    <n v="2.0219999999999998E-2"/>
    <n v="0.15105033277870217"/>
  </r>
  <r>
    <s v="P005"/>
    <s v="YouTube"/>
    <d v="2024-06-26T00:00:00"/>
    <s v="Reel"/>
    <s v="Check out our latest reel on youtube!"/>
    <n v="3557"/>
    <n v="687"/>
    <n v="424"/>
    <n v="71140"/>
    <n v="4892"/>
    <n v="70701"/>
    <n v="224"/>
    <s v="EVRevolution"/>
    <s v="TeslaCoInnovation"/>
    <m/>
    <x v="0"/>
    <n v="150000"/>
    <n v="0"/>
    <n v="0"/>
    <n v="3.2613333333333334E-2"/>
    <n v="6.5617093055946027E-2"/>
  </r>
  <r>
    <s v="P006"/>
    <s v="Facebook"/>
    <d v="2024-10-31T00:00:00"/>
    <s v="Carousel"/>
    <s v="Check out our latest carousel on facebook!"/>
    <n v="2945"/>
    <n v="930"/>
    <n v="355"/>
    <n v="23560"/>
    <n v="4486"/>
    <n v="23275"/>
    <n v="256"/>
    <s v="TeslaCoInnovation"/>
    <m/>
    <m/>
    <x v="1"/>
    <n v="0"/>
    <n v="0"/>
    <n v="0"/>
    <s v=""/>
    <n v="0.17954159592529711"/>
  </r>
  <r>
    <s v="P007"/>
    <s v="Twitter"/>
    <d v="2024-06-24T00:00:00"/>
    <s v="Carousel"/>
    <s v="Check out our latest carousel on twitter!"/>
    <n v="3860"/>
    <n v="201"/>
    <n v="279"/>
    <n v="61760"/>
    <n v="4575"/>
    <n v="61660"/>
    <n v="235"/>
    <s v="TeslaCoInnovation"/>
    <m/>
    <m/>
    <x v="1"/>
    <n v="0"/>
    <n v="0"/>
    <n v="0"/>
    <s v=""/>
    <n v="7.0272020725388601E-2"/>
  </r>
  <r>
    <s v="P008"/>
    <s v="YouTube"/>
    <d v="2024-07-13T00:00:00"/>
    <s v="Image"/>
    <s v="Check out our latest image on youtube!"/>
    <n v="3929"/>
    <n v="262"/>
    <n v="278"/>
    <n v="43219"/>
    <n v="4508"/>
    <n v="42841"/>
    <n v="39"/>
    <s v="EVRevolution"/>
    <m/>
    <m/>
    <x v="3"/>
    <n v="150000"/>
    <n v="0"/>
    <n v="0"/>
    <n v="3.0053333333333335E-2"/>
    <n v="0.10340359564080613"/>
  </r>
  <r>
    <s v="P009"/>
    <s v="Facebook"/>
    <d v="2024-08-30T00:00:00"/>
    <s v="Text"/>
    <s v="Check out our latest text on facebook!"/>
    <n v="3784"/>
    <n v="808"/>
    <n v="404"/>
    <n v="56760"/>
    <n v="5127"/>
    <n v="56343"/>
    <n v="131"/>
    <s v="TeslaCoInnovation"/>
    <m/>
    <m/>
    <x v="1"/>
    <n v="0"/>
    <n v="0"/>
    <n v="0"/>
    <s v=""/>
    <n v="8.8019732205778717E-2"/>
  </r>
  <r>
    <s v="P010"/>
    <s v="Facebook"/>
    <d v="2025-03-11T00:00:00"/>
    <s v="Image"/>
    <s v="Check out our latest image on facebook!"/>
    <n v="4241"/>
    <n v="902"/>
    <n v="47"/>
    <n v="72097"/>
    <n v="5357"/>
    <n v="71598"/>
    <n v="167"/>
    <s v="TeslaCoInnovation"/>
    <m/>
    <m/>
    <x v="1"/>
    <n v="0"/>
    <n v="0"/>
    <n v="0"/>
    <s v=""/>
    <n v="7.198635172059864E-2"/>
  </r>
  <r>
    <s v="P011"/>
    <s v="Instagram"/>
    <d v="2025-02-02T00:00:00"/>
    <s v="Story"/>
    <s v="Check out our latest story on instagram!"/>
    <n v="1792"/>
    <n v="614"/>
    <n v="497"/>
    <n v="25088"/>
    <n v="2968"/>
    <n v="24675"/>
    <n v="65"/>
    <s v="FutureOfDriving"/>
    <m/>
    <m/>
    <x v="3"/>
    <n v="0"/>
    <n v="0"/>
    <n v="0"/>
    <s v=""/>
    <n v="0.11571269132653061"/>
  </r>
  <r>
    <s v="P012"/>
    <s v="Facebook"/>
    <d v="2024-07-21T00:00:00"/>
    <s v="Reel"/>
    <s v="Check out our latest reel on facebook!"/>
    <n v="1946"/>
    <n v="686"/>
    <n v="377"/>
    <n v="23352"/>
    <n v="3222"/>
    <n v="22982"/>
    <n v="213"/>
    <s v="FutureOfDriving"/>
    <m/>
    <m/>
    <x v="2"/>
    <n v="0"/>
    <n v="0"/>
    <n v="0"/>
    <s v=""/>
    <n v="0.12885405960945528"/>
  </r>
  <r>
    <s v="P013"/>
    <s v="YouTube"/>
    <d v="2024-11-18T00:00:00"/>
    <s v="Carousel"/>
    <s v="Check out our latest carousel on youtube!"/>
    <n v="1171"/>
    <n v="286"/>
    <n v="231"/>
    <n v="22249"/>
    <n v="1802"/>
    <n v="21282"/>
    <n v="114"/>
    <s v="EVRevolution"/>
    <m/>
    <m/>
    <x v="0"/>
    <n v="150000"/>
    <n v="0"/>
    <n v="0"/>
    <n v="1.2013333333333334E-2"/>
    <n v="7.5868578363072495E-2"/>
  </r>
  <r>
    <s v="P014"/>
    <s v="Facebook"/>
    <d v="2025-02-16T00:00:00"/>
    <s v="Story"/>
    <s v="Check out our latest story on facebook!"/>
    <n v="4242"/>
    <n v="555"/>
    <n v="131"/>
    <n v="33936"/>
    <n v="5193"/>
    <n v="33802"/>
    <n v="265"/>
    <s v="FutureOfDriving"/>
    <m/>
    <m/>
    <x v="4"/>
    <n v="0"/>
    <n v="0"/>
    <n v="0"/>
    <s v=""/>
    <n v="0.14521452145214522"/>
  </r>
  <r>
    <s v="P015"/>
    <s v="Facebook"/>
    <d v="2024-10-24T00:00:00"/>
    <s v="Video"/>
    <s v="Check out our latest video on facebook!"/>
    <n v="3888"/>
    <n v="604"/>
    <n v="128"/>
    <n v="77760"/>
    <n v="4640"/>
    <n v="77167"/>
    <n v="20"/>
    <s v="FutureOfDriving"/>
    <m/>
    <m/>
    <x v="0"/>
    <n v="0"/>
    <n v="0"/>
    <n v="0"/>
    <s v=""/>
    <n v="5.941358024691358E-2"/>
  </r>
  <r>
    <s v="P016"/>
    <s v="Facebook"/>
    <d v="2024-08-26T00:00:00"/>
    <s v="Text"/>
    <s v="Check out our latest text on facebook!"/>
    <n v="3452"/>
    <n v="377"/>
    <n v="360"/>
    <n v="55232"/>
    <n v="4276"/>
    <n v="55075"/>
    <n v="87"/>
    <s v="FutureOfDriving"/>
    <m/>
    <m/>
    <x v="2"/>
    <n v="0"/>
    <n v="0"/>
    <n v="0"/>
    <s v=""/>
    <n v="7.5843713789107758E-2"/>
  </r>
  <r>
    <s v="P017"/>
    <s v="Facebook"/>
    <d v="2025-05-05T00:00:00"/>
    <s v="Text"/>
    <s v="Check out our latest text on facebook!"/>
    <n v="4441"/>
    <n v="511"/>
    <n v="70"/>
    <n v="53292"/>
    <n v="5181"/>
    <n v="53082"/>
    <n v="159"/>
    <s v="EVRevolution"/>
    <m/>
    <m/>
    <x v="3"/>
    <n v="150000"/>
    <n v="0"/>
    <n v="0"/>
    <n v="3.4540000000000001E-2"/>
    <n v="9.4235532537716729E-2"/>
  </r>
  <r>
    <s v="P018"/>
    <s v="Instagram"/>
    <d v="2024-08-19T00:00:00"/>
    <s v="Reel"/>
    <s v="Check out our latest reel on instagram!"/>
    <n v="3000"/>
    <n v="382"/>
    <n v="325"/>
    <n v="36000"/>
    <n v="3726"/>
    <n v="35819"/>
    <n v="19"/>
    <s v="FutureOfDriving"/>
    <m/>
    <m/>
    <x v="0"/>
    <n v="0"/>
    <n v="0"/>
    <n v="0"/>
    <s v=""/>
    <n v="0.10297222222222223"/>
  </r>
  <r>
    <s v="P019"/>
    <s v="Instagram"/>
    <d v="2024-06-23T00:00:00"/>
    <s v="Video"/>
    <s v="Check out our latest video on instagram!"/>
    <n v="1071"/>
    <n v="519"/>
    <n v="22"/>
    <n v="16065"/>
    <n v="1715"/>
    <n v="15865"/>
    <n v="103"/>
    <s v="TeslaCoInnovation"/>
    <m/>
    <m/>
    <x v="3"/>
    <n v="0"/>
    <n v="0"/>
    <n v="0"/>
    <s v=""/>
    <n v="0.10034235916588857"/>
  </r>
  <r>
    <s v="P020"/>
    <s v="Instagram"/>
    <d v="2024-09-09T00:00:00"/>
    <s v="Carousel"/>
    <s v="Check out our latest carousel on instagram!"/>
    <n v="4054"/>
    <n v="488"/>
    <n v="373"/>
    <n v="77026"/>
    <n v="4940"/>
    <n v="76881"/>
    <n v="25"/>
    <s v="TeslaCoInnovation"/>
    <m/>
    <m/>
    <x v="0"/>
    <n v="0"/>
    <n v="0"/>
    <n v="0"/>
    <s v=""/>
    <n v="6.3809622724794221E-2"/>
  </r>
  <r>
    <s v="P021"/>
    <s v="Instagram"/>
    <d v="2025-01-04T00:00:00"/>
    <s v="Reel"/>
    <s v="Check out our latest reel on instagram!"/>
    <n v="4838"/>
    <n v="640"/>
    <n v="128"/>
    <n v="72570"/>
    <n v="5689"/>
    <n v="72396"/>
    <n v="83"/>
    <s v="FutureOfDriving"/>
    <m/>
    <m/>
    <x v="3"/>
    <n v="0"/>
    <n v="0"/>
    <n v="0"/>
    <s v=""/>
    <n v="7.7249552156538517E-2"/>
  </r>
  <r>
    <s v="P022"/>
    <s v="Facebook"/>
    <d v="2025-02-27T00:00:00"/>
    <s v="Text"/>
    <s v="Check out our latest text on facebook!"/>
    <n v="1570"/>
    <n v="187"/>
    <n v="260"/>
    <n v="25120"/>
    <n v="2150"/>
    <n v="24613"/>
    <n v="133"/>
    <s v="TeslaCoInnovation"/>
    <m/>
    <m/>
    <x v="3"/>
    <n v="0"/>
    <n v="0"/>
    <n v="0"/>
    <s v=""/>
    <n v="8.0294585987261149E-2"/>
  </r>
  <r>
    <s v="P023"/>
    <s v="Facebook"/>
    <d v="2024-11-06T00:00:00"/>
    <s v="Video"/>
    <s v="Check out our latest video on facebook!"/>
    <n v="1606"/>
    <n v="547"/>
    <n v="316"/>
    <n v="32120"/>
    <n v="2694"/>
    <n v="31736"/>
    <n v="225"/>
    <s v="TeslaCoInnovation"/>
    <s v="AnytimeIsTeslaTime"/>
    <m/>
    <x v="1"/>
    <n v="0"/>
    <n v="200000"/>
    <n v="0"/>
    <n v="1.3469999999999999E-2"/>
    <n v="7.6867995018679955E-2"/>
  </r>
  <r>
    <s v="P024"/>
    <s v="Facebook"/>
    <d v="2025-01-23T00:00:00"/>
    <s v="Video"/>
    <s v="Check out our latest video on facebook!"/>
    <n v="3961"/>
    <n v="761"/>
    <n v="131"/>
    <n v="67337"/>
    <n v="5014"/>
    <n v="66615"/>
    <n v="161"/>
    <s v="FutureOfDriving"/>
    <m/>
    <m/>
    <x v="2"/>
    <n v="0"/>
    <n v="0"/>
    <n v="0"/>
    <s v=""/>
    <n v="7.2070332803659209E-2"/>
  </r>
  <r>
    <s v="P025"/>
    <s v="Twitter"/>
    <d v="2025-04-10T00:00:00"/>
    <s v="Carousel"/>
    <s v="Check out our latest carousel on twitter!"/>
    <n v="3128"/>
    <n v="211"/>
    <n v="197"/>
    <n v="59432"/>
    <n v="3774"/>
    <n v="59182"/>
    <n v="238"/>
    <s v="EVRevolution"/>
    <m/>
    <m/>
    <x v="4"/>
    <n v="150000"/>
    <n v="0"/>
    <n v="0"/>
    <n v="2.5159999999999998E-2"/>
    <n v="5.9496567505720827E-2"/>
  </r>
  <r>
    <s v="P026"/>
    <s v="YouTube"/>
    <d v="2025-04-05T00:00:00"/>
    <s v="Reel"/>
    <s v="Check out our latest reel on youtube!"/>
    <n v="3009"/>
    <n v="413"/>
    <n v="358"/>
    <n v="42126"/>
    <n v="3991"/>
    <n v="41309"/>
    <n v="211"/>
    <s v="FutureOfDriving"/>
    <m/>
    <m/>
    <x v="1"/>
    <n v="0"/>
    <n v="0"/>
    <n v="0"/>
    <s v=""/>
    <n v="8.9730807577268201E-2"/>
  </r>
  <r>
    <s v="P027"/>
    <s v="YouTube"/>
    <d v="2024-09-17T00:00:00"/>
    <s v="Text"/>
    <s v="Check out our latest text on youtube!"/>
    <n v="2076"/>
    <n v="195"/>
    <n v="104"/>
    <n v="33216"/>
    <n v="2426"/>
    <n v="32244"/>
    <n v="51"/>
    <s v="FutureOfDriving"/>
    <m/>
    <m/>
    <x v="3"/>
    <n v="0"/>
    <n v="0"/>
    <n v="0"/>
    <s v=""/>
    <n v="7.1501685934489398E-2"/>
  </r>
  <r>
    <s v="P028"/>
    <s v="Instagram"/>
    <d v="2025-03-04T00:00:00"/>
    <s v="Video"/>
    <s v="Check out our latest video on instagram!"/>
    <n v="432"/>
    <n v="624"/>
    <n v="123"/>
    <n v="6912"/>
    <n v="1258"/>
    <n v="6259"/>
    <n v="79"/>
    <s v="FutureOfDriving"/>
    <m/>
    <m/>
    <x v="3"/>
    <n v="0"/>
    <n v="0"/>
    <n v="0"/>
    <s v=""/>
    <n v="0.17057291666666666"/>
  </r>
  <r>
    <s v="P029"/>
    <s v="Instagram"/>
    <d v="2025-01-31T00:00:00"/>
    <s v="Carousel"/>
    <s v="Check out our latest carousel on instagram!"/>
    <n v="2566"/>
    <n v="118"/>
    <n v="37"/>
    <n v="12830"/>
    <n v="2942"/>
    <n v="12264"/>
    <n v="221"/>
    <s v="FutureOfDriving"/>
    <m/>
    <m/>
    <x v="2"/>
    <n v="0"/>
    <n v="0"/>
    <n v="0"/>
    <s v=""/>
    <n v="0.21208106001558846"/>
  </r>
  <r>
    <s v="P030"/>
    <s v="Instagram"/>
    <d v="2025-02-25T00:00:00"/>
    <s v="Video"/>
    <s v="Check out our latest video on instagram!"/>
    <n v="3095"/>
    <n v="39"/>
    <n v="78"/>
    <n v="55710"/>
    <n v="3305"/>
    <n v="54808"/>
    <n v="93"/>
    <s v="EVRevolution"/>
    <m/>
    <m/>
    <x v="4"/>
    <n v="150000"/>
    <n v="0"/>
    <n v="0"/>
    <n v="2.2033333333333332E-2"/>
    <n v="5.7655717106444085E-2"/>
  </r>
  <r>
    <s v="P031"/>
    <s v="Instagram"/>
    <d v="2024-12-16T00:00:00"/>
    <s v="Text"/>
    <s v="Check out our latest text on instagram!"/>
    <n v="438"/>
    <n v="153"/>
    <n v="275"/>
    <n v="3066"/>
    <n v="1148"/>
    <n v="2701"/>
    <n v="282"/>
    <s v="TeslaCoInnovation"/>
    <m/>
    <m/>
    <x v="1"/>
    <n v="0"/>
    <n v="0"/>
    <n v="0"/>
    <s v=""/>
    <n v="0.28245270711024134"/>
  </r>
  <r>
    <s v="P032"/>
    <s v="Twitter"/>
    <d v="2024-07-31T00:00:00"/>
    <s v="Carousel"/>
    <s v="Check out our latest carousel on twitter!"/>
    <n v="2278"/>
    <n v="10"/>
    <n v="321"/>
    <n v="13668"/>
    <n v="2884"/>
    <n v="12676"/>
    <n v="275"/>
    <s v="EVRevolution"/>
    <m/>
    <m/>
    <x v="0"/>
    <n v="150000"/>
    <n v="0"/>
    <n v="0"/>
    <n v="1.9226666666666666E-2"/>
    <n v="0.19088381621305239"/>
  </r>
  <r>
    <s v="P033"/>
    <s v="Facebook"/>
    <d v="2024-08-21T00:00:00"/>
    <s v="Image"/>
    <s v="Check out our latest image on facebook!"/>
    <n v="1407"/>
    <n v="400"/>
    <n v="351"/>
    <n v="16884"/>
    <n v="2271"/>
    <n v="15954"/>
    <n v="113"/>
    <s v="TeslaCoInnovation"/>
    <m/>
    <m/>
    <x v="0"/>
    <n v="0"/>
    <n v="0"/>
    <n v="0"/>
    <s v=""/>
    <n v="0.12781331438047855"/>
  </r>
  <r>
    <s v="P034"/>
    <s v="Facebook"/>
    <d v="2025-03-26T00:00:00"/>
    <s v="Text"/>
    <s v="Check out our latest text on facebook!"/>
    <n v="1652"/>
    <n v="89"/>
    <n v="357"/>
    <n v="29736"/>
    <n v="2313"/>
    <n v="28771"/>
    <n v="215"/>
    <s v="TeslaCoInnovation"/>
    <m/>
    <m/>
    <x v="2"/>
    <n v="0"/>
    <n v="0"/>
    <n v="0"/>
    <s v=""/>
    <n v="7.055421038471886E-2"/>
  </r>
  <r>
    <s v="P035"/>
    <s v="Instagram"/>
    <d v="2024-11-30T00:00:00"/>
    <s v="Video"/>
    <s v="Check out our latest video on instagram!"/>
    <n v="3775"/>
    <n v="16"/>
    <n v="239"/>
    <n v="33975"/>
    <n v="4301"/>
    <n v="33310"/>
    <n v="271"/>
    <s v="FutureOfDriving"/>
    <m/>
    <m/>
    <x v="1"/>
    <n v="0"/>
    <n v="0"/>
    <n v="0"/>
    <s v=""/>
    <n v="0.11861662987490802"/>
  </r>
  <r>
    <s v="P036"/>
    <s v="Instagram"/>
    <d v="2025-04-19T00:00:00"/>
    <s v="Story"/>
    <s v="Check out our latest story on instagram!"/>
    <n v="4518"/>
    <n v="285"/>
    <n v="383"/>
    <n v="67770"/>
    <n v="5217"/>
    <n v="67621"/>
    <n v="31"/>
    <s v="EVRevolution"/>
    <m/>
    <m/>
    <x v="1"/>
    <n v="150000"/>
    <n v="0"/>
    <n v="0"/>
    <n v="3.4779999999999998E-2"/>
    <n v="7.6523535487678915E-2"/>
  </r>
  <r>
    <s v="P037"/>
    <s v="Facebook"/>
    <d v="2025-01-06T00:00:00"/>
    <s v="Carousel"/>
    <s v="Check out our latest carousel on facebook!"/>
    <n v="3024"/>
    <n v="925"/>
    <n v="350"/>
    <n v="24192"/>
    <n v="4335"/>
    <n v="23518"/>
    <n v="36"/>
    <s v="EVRevolution"/>
    <m/>
    <m/>
    <x v="1"/>
    <n v="150000"/>
    <n v="0"/>
    <n v="0"/>
    <n v="2.8899999999999999E-2"/>
    <n v="0.17770337301587302"/>
  </r>
  <r>
    <s v="P038"/>
    <s v="YouTube"/>
    <d v="2025-02-17T00:00:00"/>
    <s v="Reel"/>
    <s v="Check out our latest reel on youtube!"/>
    <n v="3138"/>
    <n v="123"/>
    <n v="291"/>
    <n v="28242"/>
    <n v="3639"/>
    <n v="27550"/>
    <n v="87"/>
    <s v="TeslaCoInnovation"/>
    <m/>
    <m/>
    <x v="3"/>
    <n v="0"/>
    <n v="0"/>
    <n v="0"/>
    <s v=""/>
    <n v="0.12577012959422137"/>
  </r>
  <r>
    <s v="P039"/>
    <s v="Facebook"/>
    <d v="2024-11-25T00:00:00"/>
    <s v="Image"/>
    <s v="Check out our latest image on facebook!"/>
    <n v="3564"/>
    <n v="629"/>
    <n v="177"/>
    <n v="60588"/>
    <n v="4462"/>
    <n v="59627"/>
    <n v="92"/>
    <s v="TeslaCoInnovation"/>
    <m/>
    <m/>
    <x v="4"/>
    <n v="0"/>
    <n v="0"/>
    <n v="0"/>
    <s v=""/>
    <n v="7.2126493695121141E-2"/>
  </r>
  <r>
    <s v="P040"/>
    <s v="Twitter"/>
    <d v="2025-03-07T00:00:00"/>
    <s v="Image"/>
    <s v="Check out our latest image on twitter!"/>
    <n v="4750"/>
    <n v="151"/>
    <n v="415"/>
    <n v="38000"/>
    <n v="5615"/>
    <n v="37792"/>
    <n v="299"/>
    <s v="EVRevolution"/>
    <m/>
    <m/>
    <x v="3"/>
    <n v="150000"/>
    <n v="0"/>
    <n v="0"/>
    <n v="3.7433333333333332E-2"/>
    <n v="0.13989473684210527"/>
  </r>
  <r>
    <s v="P041"/>
    <s v="Instagram"/>
    <d v="2025-03-08T00:00:00"/>
    <s v="Reel"/>
    <s v="Check out our latest reel on instagram!"/>
    <n v="456"/>
    <n v="629"/>
    <n v="428"/>
    <n v="8208"/>
    <n v="1718"/>
    <n v="7377"/>
    <n v="205"/>
    <s v="FutureOfDriving"/>
    <m/>
    <m/>
    <x v="3"/>
    <n v="0"/>
    <n v="0"/>
    <n v="0"/>
    <s v=""/>
    <n v="0.18433235867446393"/>
  </r>
  <r>
    <s v="P042"/>
    <s v="YouTube"/>
    <d v="2025-03-05T00:00:00"/>
    <s v="Reel"/>
    <s v="Check out our latest reel on youtube!"/>
    <n v="1543"/>
    <n v="820"/>
    <n v="333"/>
    <n v="12344"/>
    <n v="2937"/>
    <n v="11496"/>
    <n v="241"/>
    <s v="EVRevolution"/>
    <m/>
    <m/>
    <x v="4"/>
    <n v="150000"/>
    <n v="0"/>
    <n v="0"/>
    <n v="1.958E-2"/>
    <n v="0.21840570317563188"/>
  </r>
  <r>
    <s v="P043"/>
    <s v="Instagram"/>
    <d v="2024-12-14T00:00:00"/>
    <s v="Carousel"/>
    <s v="Check out our latest carousel on instagram!"/>
    <n v="2174"/>
    <n v="658"/>
    <n v="15"/>
    <n v="13044"/>
    <n v="2984"/>
    <n v="12206"/>
    <n v="137"/>
    <s v="TeslaCoInnovation"/>
    <m/>
    <m/>
    <x v="2"/>
    <n v="0"/>
    <n v="0"/>
    <n v="0"/>
    <s v=""/>
    <n v="0.21826126954921804"/>
  </r>
  <r>
    <s v="P044"/>
    <s v="Twitter"/>
    <d v="2025-03-02T00:00:00"/>
    <s v="Image"/>
    <s v="Check out our latest image on twitter!"/>
    <n v="2358"/>
    <n v="784"/>
    <n v="344"/>
    <n v="35370"/>
    <n v="3702"/>
    <n v="34475"/>
    <n v="216"/>
    <s v="TeslaCoInnovation"/>
    <m/>
    <m/>
    <x v="4"/>
    <n v="0"/>
    <n v="0"/>
    <n v="0"/>
    <s v=""/>
    <n v="9.8558100084817649E-2"/>
  </r>
  <r>
    <s v="P045"/>
    <s v="Facebook"/>
    <d v="2024-11-01T00:00:00"/>
    <s v="Video"/>
    <s v="Check out our latest video on facebook!"/>
    <n v="3371"/>
    <n v="106"/>
    <n v="327"/>
    <n v="50565"/>
    <n v="3980"/>
    <n v="49816"/>
    <n v="176"/>
    <s v="FutureOfDriving"/>
    <m/>
    <m/>
    <x v="0"/>
    <n v="0"/>
    <n v="0"/>
    <n v="0"/>
    <s v=""/>
    <n v="7.5229902106199939E-2"/>
  </r>
  <r>
    <s v="P046"/>
    <s v="Twitter"/>
    <d v="2025-05-02T00:00:00"/>
    <s v="Video"/>
    <s v="Check out our latest video on twitter!"/>
    <n v="1108"/>
    <n v="177"/>
    <n v="212"/>
    <n v="8864"/>
    <n v="1594"/>
    <n v="8710"/>
    <n v="97"/>
    <s v="TeslaCoInnovation"/>
    <m/>
    <m/>
    <x v="3"/>
    <n v="0"/>
    <n v="0"/>
    <n v="0"/>
    <s v=""/>
    <n v="0.16888537906137185"/>
  </r>
  <r>
    <s v="P047"/>
    <s v="Twitter"/>
    <d v="2025-02-24T00:00:00"/>
    <s v="Carousel"/>
    <s v="Check out our latest carousel on twitter!"/>
    <n v="2704"/>
    <n v="752"/>
    <n v="153"/>
    <n v="21632"/>
    <n v="3736"/>
    <n v="20792"/>
    <n v="127"/>
    <s v="FutureOfDriving"/>
    <m/>
    <m/>
    <x v="4"/>
    <n v="0"/>
    <n v="0"/>
    <n v="0"/>
    <s v=""/>
    <n v="0.16683616863905326"/>
  </r>
  <r>
    <s v="P048"/>
    <s v="Twitter"/>
    <d v="2025-03-11T00:00:00"/>
    <s v="Story"/>
    <s v="Check out our latest story on twitter!"/>
    <n v="1950"/>
    <n v="295"/>
    <n v="478"/>
    <n v="37050"/>
    <n v="2842"/>
    <n v="36272"/>
    <n v="119"/>
    <s v="TeslaCoInnovation"/>
    <m/>
    <m/>
    <x v="4"/>
    <n v="0"/>
    <n v="0"/>
    <n v="0"/>
    <s v=""/>
    <n v="7.349527665317139E-2"/>
  </r>
  <r>
    <s v="P049"/>
    <s v="Twitter"/>
    <d v="2024-06-10T00:00:00"/>
    <s v="Story"/>
    <s v="Check out our latest story on twitter!"/>
    <n v="2164"/>
    <n v="549"/>
    <n v="274"/>
    <n v="28132"/>
    <n v="3164"/>
    <n v="27361"/>
    <n v="177"/>
    <s v="TeslaCoInnovation"/>
    <m/>
    <m/>
    <x v="3"/>
    <n v="0"/>
    <n v="0"/>
    <n v="0"/>
    <s v=""/>
    <n v="0.10617801791554102"/>
  </r>
  <r>
    <s v="P050"/>
    <s v="YouTube"/>
    <d v="2024-07-03T00:00:00"/>
    <s v="Story"/>
    <s v="Check out our latest story on youtube!"/>
    <n v="2754"/>
    <n v="130"/>
    <n v="90"/>
    <n v="22032"/>
    <n v="3086"/>
    <n v="21288"/>
    <n v="112"/>
    <s v="TeslaCoInnovation"/>
    <m/>
    <m/>
    <x v="2"/>
    <n v="0"/>
    <n v="0"/>
    <n v="0"/>
    <s v=""/>
    <n v="0.13498547567175018"/>
  </r>
  <r>
    <s v="P051"/>
    <s v="Facebook"/>
    <d v="2024-06-13T00:00:00"/>
    <s v="Carousel"/>
    <s v="Check out our latest carousel on facebook!"/>
    <n v="2200"/>
    <n v="504"/>
    <n v="239"/>
    <n v="37400"/>
    <n v="3168"/>
    <n v="36938"/>
    <n v="225"/>
    <s v="FutureOfDriving"/>
    <m/>
    <m/>
    <x v="1"/>
    <n v="0"/>
    <n v="0"/>
    <n v="0"/>
    <s v=""/>
    <n v="7.8689839572192513E-2"/>
  </r>
  <r>
    <s v="P052"/>
    <s v="Facebook"/>
    <d v="2025-01-03T00:00:00"/>
    <s v="Image"/>
    <s v="Check out our latest image on facebook!"/>
    <n v="947"/>
    <n v="338"/>
    <n v="350"/>
    <n v="10417"/>
    <n v="1669"/>
    <n v="9730"/>
    <n v="34"/>
    <s v="TeslaCoInnovation"/>
    <m/>
    <m/>
    <x v="3"/>
    <n v="0"/>
    <n v="0"/>
    <n v="0"/>
    <s v=""/>
    <n v="0.1569549774407219"/>
  </r>
  <r>
    <s v="P053"/>
    <s v="YouTube"/>
    <d v="2025-02-24T00:00:00"/>
    <s v="Carousel"/>
    <s v="Check out our latest carousel on youtube!"/>
    <n v="804"/>
    <n v="639"/>
    <n v="43"/>
    <n v="4020"/>
    <n v="1497"/>
    <n v="3144"/>
    <n v="11"/>
    <s v="EVRevolution"/>
    <s v="BetterWithTesla"/>
    <m/>
    <x v="4"/>
    <n v="150000"/>
    <n v="180000"/>
    <n v="0"/>
    <n v="4.5363636363636361E-3"/>
    <n v="0.36965174129353234"/>
  </r>
  <r>
    <s v="P054"/>
    <s v="YouTube"/>
    <d v="2025-03-13T00:00:00"/>
    <s v="Carousel"/>
    <s v="Check out our latest carousel on youtube!"/>
    <n v="1686"/>
    <n v="904"/>
    <n v="472"/>
    <n v="18546"/>
    <n v="3114"/>
    <n v="18171"/>
    <n v="52"/>
    <s v="FutureOfDriving"/>
    <m/>
    <m/>
    <x v="1"/>
    <n v="0"/>
    <n v="0"/>
    <n v="0"/>
    <s v=""/>
    <n v="0.16510298716704411"/>
  </r>
  <r>
    <s v="P055"/>
    <s v="Facebook"/>
    <d v="2024-06-17T00:00:00"/>
    <s v="Image"/>
    <s v="Check out our latest image on facebook!"/>
    <n v="1226"/>
    <n v="119"/>
    <n v="7"/>
    <n v="14712"/>
    <n v="1475"/>
    <n v="14049"/>
    <n v="123"/>
    <s v="EVRevolution"/>
    <m/>
    <m/>
    <x v="3"/>
    <n v="150000"/>
    <n v="0"/>
    <n v="0"/>
    <n v="9.8333333333333328E-3"/>
    <n v="9.1897770527460579E-2"/>
  </r>
  <r>
    <s v="P056"/>
    <s v="Facebook"/>
    <d v="2024-12-18T00:00:00"/>
    <s v="Carousel"/>
    <s v="Check out our latest carousel on facebook!"/>
    <n v="2946"/>
    <n v="498"/>
    <n v="367"/>
    <n v="29460"/>
    <n v="3871"/>
    <n v="28527"/>
    <n v="60"/>
    <s v="FutureOfDriving"/>
    <m/>
    <m/>
    <x v="2"/>
    <n v="0"/>
    <n v="0"/>
    <n v="0"/>
    <s v=""/>
    <n v="0.12936184657162253"/>
  </r>
  <r>
    <s v="P057"/>
    <s v="Twitter"/>
    <d v="2024-10-21T00:00:00"/>
    <s v="Video"/>
    <s v="Check out our latest video on twitter!"/>
    <n v="2825"/>
    <n v="535"/>
    <n v="295"/>
    <n v="45200"/>
    <n v="3824"/>
    <n v="44739"/>
    <n v="169"/>
    <s v="TeslaCoInnovation"/>
    <m/>
    <m/>
    <x v="0"/>
    <n v="0"/>
    <n v="0"/>
    <n v="0"/>
    <s v=""/>
    <n v="8.0862831858407078E-2"/>
  </r>
  <r>
    <s v="P058"/>
    <s v="Instagram"/>
    <d v="2025-04-15T00:00:00"/>
    <s v="Reel"/>
    <s v="Check out our latest reel on instagram!"/>
    <n v="103"/>
    <n v="770"/>
    <n v="19"/>
    <n v="1030"/>
    <n v="1154"/>
    <n v="410"/>
    <n v="262"/>
    <s v="TeslaCoInnovation"/>
    <m/>
    <m/>
    <x v="3"/>
    <n v="0"/>
    <n v="0"/>
    <n v="0"/>
    <s v=""/>
    <n v="0.86601941747572819"/>
  </r>
  <r>
    <s v="P059"/>
    <s v="Instagram"/>
    <d v="2024-06-22T00:00:00"/>
    <s v="Text"/>
    <s v="Check out our latest text on instagram!"/>
    <n v="2180"/>
    <n v="263"/>
    <n v="387"/>
    <n v="30520"/>
    <n v="3004"/>
    <n v="30059"/>
    <n v="174"/>
    <s v="EVRevolution"/>
    <m/>
    <m/>
    <x v="4"/>
    <n v="150000"/>
    <n v="0"/>
    <n v="0"/>
    <n v="2.0026666666666668E-2"/>
    <n v="9.2726081258191345E-2"/>
  </r>
  <r>
    <s v="P060"/>
    <s v="Instagram"/>
    <d v="2025-01-28T00:00:00"/>
    <s v="Video"/>
    <s v="Check out our latest video on instagram!"/>
    <n v="904"/>
    <n v="973"/>
    <n v="63"/>
    <n v="11752"/>
    <n v="2024"/>
    <n v="11580"/>
    <n v="84"/>
    <s v="EVRevolution"/>
    <s v="TeslaCoInnovation"/>
    <s v="AnytimeIsTeslaTime"/>
    <x v="2"/>
    <n v="150000"/>
    <n v="0"/>
    <n v="200000"/>
    <n v="5.7828571428571425E-3"/>
    <n v="0.1650782845473111"/>
  </r>
  <r>
    <s v="P061"/>
    <s v="Twitter"/>
    <d v="2024-09-05T00:00:00"/>
    <s v="Video"/>
    <s v="Check out our latest video on twitter!"/>
    <n v="4886"/>
    <n v="983"/>
    <n v="409"/>
    <n v="43974"/>
    <n v="6343"/>
    <n v="43239"/>
    <n v="65"/>
    <s v="TeslaCoInnovation"/>
    <m/>
    <m/>
    <x v="0"/>
    <n v="0"/>
    <n v="0"/>
    <n v="0"/>
    <s v=""/>
    <n v="0.14276618001546368"/>
  </r>
  <r>
    <s v="P062"/>
    <s v="Twitter"/>
    <d v="2024-11-22T00:00:00"/>
    <s v="Carousel"/>
    <s v="Check out our latest carousel on twitter!"/>
    <n v="53"/>
    <n v="81"/>
    <n v="379"/>
    <n v="954"/>
    <n v="661"/>
    <n v="7"/>
    <n v="148"/>
    <s v="TeslaCoInnovation"/>
    <m/>
    <m/>
    <x v="2"/>
    <n v="0"/>
    <n v="0"/>
    <n v="0"/>
    <s v=""/>
    <n v="0.53773584905660377"/>
  </r>
  <r>
    <s v="P063"/>
    <s v="Twitter"/>
    <d v="2024-07-31T00:00:00"/>
    <s v="Carousel"/>
    <s v="Check out our latest carousel on twitter!"/>
    <n v="4507"/>
    <n v="217"/>
    <n v="13"/>
    <n v="90140"/>
    <n v="4862"/>
    <n v="89591"/>
    <n v="125"/>
    <s v="FutureOfDriving"/>
    <m/>
    <m/>
    <x v="2"/>
    <n v="0"/>
    <n v="0"/>
    <n v="0"/>
    <s v=""/>
    <n v="5.2551586421122697E-2"/>
  </r>
  <r>
    <s v="P064"/>
    <s v="Facebook"/>
    <d v="2024-08-17T00:00:00"/>
    <s v="Image"/>
    <s v="Check out our latest image on facebook!"/>
    <n v="2878"/>
    <n v="248"/>
    <n v="416"/>
    <n v="43170"/>
    <n v="3617"/>
    <n v="42667"/>
    <n v="75"/>
    <s v="FutureOfDriving"/>
    <m/>
    <m/>
    <x v="2"/>
    <n v="0"/>
    <n v="0"/>
    <n v="0"/>
    <s v=""/>
    <n v="8.2047718322909427E-2"/>
  </r>
  <r>
    <s v="P065"/>
    <s v="Instagram"/>
    <d v="2025-03-28T00:00:00"/>
    <s v="Story"/>
    <s v="Check out our latest story on instagram!"/>
    <n v="1881"/>
    <n v="501"/>
    <n v="99"/>
    <n v="20691"/>
    <n v="2770"/>
    <n v="19987"/>
    <n v="289"/>
    <s v="EVRevolution"/>
    <m/>
    <m/>
    <x v="4"/>
    <n v="150000"/>
    <n v="0"/>
    <n v="0"/>
    <n v="1.8466666666666666E-2"/>
    <n v="0.11990720603160794"/>
  </r>
  <r>
    <s v="P066"/>
    <s v="Twitter"/>
    <d v="2024-07-26T00:00:00"/>
    <s v="Carousel"/>
    <s v="Check out our latest carousel on twitter!"/>
    <n v="432"/>
    <n v="171"/>
    <n v="280"/>
    <n v="3024"/>
    <n v="1067"/>
    <n v="2285"/>
    <n v="184"/>
    <s v="EVRevolution"/>
    <m/>
    <m/>
    <x v="0"/>
    <n v="150000"/>
    <n v="0"/>
    <n v="0"/>
    <n v="7.1133333333333335E-3"/>
    <n v="0.29199735449735448"/>
  </r>
  <r>
    <s v="P067"/>
    <s v="Facebook"/>
    <d v="2025-03-29T00:00:00"/>
    <s v="Carousel"/>
    <s v="Check out our latest carousel on facebook!"/>
    <n v="4712"/>
    <n v="568"/>
    <n v="127"/>
    <n v="84816"/>
    <n v="5507"/>
    <n v="84691"/>
    <n v="100"/>
    <s v="EVRevolution"/>
    <m/>
    <m/>
    <x v="2"/>
    <n v="150000"/>
    <n v="0"/>
    <n v="0"/>
    <n v="3.6713333333333334E-2"/>
    <n v="6.3749764195434822E-2"/>
  </r>
  <r>
    <s v="P068"/>
    <s v="Instagram"/>
    <d v="2024-12-08T00:00:00"/>
    <s v="Story"/>
    <s v="Check out our latest story on instagram!"/>
    <n v="2610"/>
    <n v="126"/>
    <n v="288"/>
    <n v="15660"/>
    <n v="3097"/>
    <n v="15145"/>
    <n v="73"/>
    <s v="EVRevolution"/>
    <m/>
    <m/>
    <x v="4"/>
    <n v="150000"/>
    <n v="0"/>
    <n v="0"/>
    <n v="2.0646666666666667E-2"/>
    <n v="0.19310344827586207"/>
  </r>
  <r>
    <s v="P069"/>
    <s v="Twitter"/>
    <d v="2025-03-08T00:00:00"/>
    <s v="Text"/>
    <s v="Check out our latest text on twitter!"/>
    <n v="1292"/>
    <n v="626"/>
    <n v="496"/>
    <n v="25840"/>
    <n v="2563"/>
    <n v="24916"/>
    <n v="149"/>
    <s v="FutureOfDriving"/>
    <m/>
    <m/>
    <x v="2"/>
    <n v="0"/>
    <n v="0"/>
    <n v="0"/>
    <s v=""/>
    <n v="9.3421052631578946E-2"/>
  </r>
  <r>
    <s v="P070"/>
    <s v="Facebook"/>
    <d v="2025-04-02T00:00:00"/>
    <s v="Video"/>
    <s v="Check out our latest video on facebook!"/>
    <n v="199"/>
    <n v="772"/>
    <n v="400"/>
    <n v="3582"/>
    <n v="1414"/>
    <n v="2988"/>
    <n v="43"/>
    <s v="TeslaCoInnovation"/>
    <m/>
    <m/>
    <x v="4"/>
    <n v="0"/>
    <n v="0"/>
    <n v="0"/>
    <s v=""/>
    <n v="0.38274706867671693"/>
  </r>
  <r>
    <s v="P071"/>
    <s v="YouTube"/>
    <d v="2024-09-02T00:00:00"/>
    <s v="Carousel"/>
    <s v="Check out our latest carousel on youtube!"/>
    <n v="2551"/>
    <n v="915"/>
    <n v="205"/>
    <n v="30612"/>
    <n v="3898"/>
    <n v="30360"/>
    <n v="227"/>
    <s v="TeslaCoInnovation"/>
    <m/>
    <m/>
    <x v="1"/>
    <n v="0"/>
    <n v="0"/>
    <n v="0"/>
    <s v=""/>
    <n v="0.1199202926956749"/>
  </r>
  <r>
    <s v="P072"/>
    <s v="YouTube"/>
    <d v="2025-03-03T00:00:00"/>
    <s v="Reel"/>
    <s v="Check out our latest reel on youtube!"/>
    <n v="296"/>
    <n v="60"/>
    <n v="141"/>
    <n v="5624"/>
    <n v="585"/>
    <n v="5239"/>
    <n v="88"/>
    <s v="EVRevolution"/>
    <m/>
    <m/>
    <x v="1"/>
    <n v="150000"/>
    <n v="0"/>
    <n v="0"/>
    <n v="3.8999999999999998E-3"/>
    <n v="8.837126600284495E-2"/>
  </r>
  <r>
    <s v="P073"/>
    <s v="Facebook"/>
    <d v="2024-10-18T00:00:00"/>
    <s v="Story"/>
    <s v="Check out our latest story on facebook!"/>
    <n v="4126"/>
    <n v="426"/>
    <n v="486"/>
    <n v="78394"/>
    <n v="5126"/>
    <n v="77798"/>
    <n v="88"/>
    <s v="FutureOfDriving"/>
    <m/>
    <m/>
    <x v="3"/>
    <n v="0"/>
    <n v="0"/>
    <n v="0"/>
    <s v=""/>
    <n v="6.4265122330790625E-2"/>
  </r>
  <r>
    <s v="P074"/>
    <s v="YouTube"/>
    <d v="2024-10-28T00:00:00"/>
    <s v="Reel"/>
    <s v="Check out our latest reel on youtube!"/>
    <n v="1855"/>
    <n v="200"/>
    <n v="174"/>
    <n v="16695"/>
    <n v="2352"/>
    <n v="16330"/>
    <n v="123"/>
    <s v="TeslaCoInnovation"/>
    <m/>
    <m/>
    <x v="2"/>
    <n v="0"/>
    <n v="0"/>
    <n v="0"/>
    <s v=""/>
    <n v="0.13351302785265048"/>
  </r>
  <r>
    <s v="P075"/>
    <s v="Instagram"/>
    <d v="2024-08-01T00:00:00"/>
    <s v="Reel"/>
    <s v="Check out our latest reel on instagram!"/>
    <n v="1674"/>
    <n v="929"/>
    <n v="37"/>
    <n v="21762"/>
    <n v="2895"/>
    <n v="20998"/>
    <n v="255"/>
    <s v="TeslaCoInnovation"/>
    <m/>
    <m/>
    <x v="3"/>
    <n v="0"/>
    <n v="0"/>
    <n v="0"/>
    <s v=""/>
    <n v="0.12131237937689551"/>
  </r>
  <r>
    <s v="P076"/>
    <s v="Twitter"/>
    <d v="2024-11-07T00:00:00"/>
    <s v="Story"/>
    <s v="Check out our latest story on twitter!"/>
    <n v="1121"/>
    <n v="135"/>
    <n v="18"/>
    <n v="15694"/>
    <n v="1373"/>
    <n v="14957"/>
    <n v="99"/>
    <s v="TeslaCoInnovation"/>
    <m/>
    <m/>
    <x v="3"/>
    <n v="0"/>
    <n v="0"/>
    <n v="0"/>
    <s v=""/>
    <n v="8.1177520071364848E-2"/>
  </r>
  <r>
    <s v="P077"/>
    <s v="Facebook"/>
    <d v="2025-03-04T00:00:00"/>
    <s v="Story"/>
    <s v="Check out our latest story on facebook!"/>
    <n v="1249"/>
    <n v="116"/>
    <n v="420"/>
    <n v="8743"/>
    <n v="1848"/>
    <n v="8538"/>
    <n v="63"/>
    <s v="TeslaCoInnovation"/>
    <m/>
    <m/>
    <x v="4"/>
    <n v="0"/>
    <n v="0"/>
    <n v="0"/>
    <s v=""/>
    <n v="0.20416333066453163"/>
  </r>
  <r>
    <s v="P078"/>
    <s v="Twitter"/>
    <d v="2024-06-17T00:00:00"/>
    <s v="Image"/>
    <s v="Check out our latest image on twitter!"/>
    <n v="954"/>
    <n v="324"/>
    <n v="288"/>
    <n v="19080"/>
    <n v="1587"/>
    <n v="18859"/>
    <n v="21"/>
    <s v="FutureOfDriving"/>
    <m/>
    <m/>
    <x v="3"/>
    <n v="0"/>
    <n v="0"/>
    <n v="0"/>
    <s v=""/>
    <n v="8.2075471698113203E-2"/>
  </r>
  <r>
    <s v="P079"/>
    <s v="Instagram"/>
    <d v="2024-10-09T00:00:00"/>
    <s v="Carousel"/>
    <s v="Check out our latest carousel on instagram!"/>
    <n v="3068"/>
    <n v="137"/>
    <n v="329"/>
    <n v="39884"/>
    <n v="3800"/>
    <n v="39404"/>
    <n v="266"/>
    <s v="EVRevolution"/>
    <m/>
    <m/>
    <x v="1"/>
    <n v="150000"/>
    <n v="0"/>
    <n v="0"/>
    <n v="2.5333333333333333E-2"/>
    <n v="8.860696018453515E-2"/>
  </r>
  <r>
    <s v="P080"/>
    <s v="Instagram"/>
    <d v="2024-06-13T00:00:00"/>
    <s v="Story"/>
    <s v="Check out our latest story on instagram!"/>
    <n v="2103"/>
    <n v="892"/>
    <n v="103"/>
    <n v="39957"/>
    <n v="3126"/>
    <n v="39466"/>
    <n v="28"/>
    <s v="FutureOfDriving"/>
    <m/>
    <m/>
    <x v="4"/>
    <n v="0"/>
    <n v="0"/>
    <n v="0"/>
    <s v=""/>
    <n v="7.7533348349475686E-2"/>
  </r>
  <r>
    <s v="P081"/>
    <s v="Instagram"/>
    <d v="2024-10-19T00:00:00"/>
    <s v="Story"/>
    <s v="Check out our latest story on instagram!"/>
    <n v="1816"/>
    <n v="29"/>
    <n v="41"/>
    <n v="19976"/>
    <n v="2169"/>
    <n v="19262"/>
    <n v="283"/>
    <s v="TeslaCoInnovation"/>
    <m/>
    <m/>
    <x v="2"/>
    <n v="0"/>
    <n v="0"/>
    <n v="0"/>
    <s v=""/>
    <n v="9.4413295955146179E-2"/>
  </r>
  <r>
    <s v="P082"/>
    <s v="Instagram"/>
    <d v="2024-07-24T00:00:00"/>
    <s v="Image"/>
    <s v="Check out our latest image on instagram!"/>
    <n v="725"/>
    <n v="88"/>
    <n v="428"/>
    <n v="14500"/>
    <n v="1441"/>
    <n v="13637"/>
    <n v="200"/>
    <s v="FutureOfDriving"/>
    <s v="TeslaCoInnovation"/>
    <s v="AnytimeIsTeslaTime"/>
    <x v="2"/>
    <n v="0"/>
    <n v="0"/>
    <n v="200000"/>
    <n v="7.2049999999999996E-3"/>
    <n v="8.558620689655172E-2"/>
  </r>
  <r>
    <s v="P083"/>
    <s v="YouTube"/>
    <d v="2024-10-15T00:00:00"/>
    <s v="Video"/>
    <s v="Check out our latest video on youtube!"/>
    <n v="1094"/>
    <n v="472"/>
    <n v="21"/>
    <n v="9846"/>
    <n v="1699"/>
    <n v="9609"/>
    <n v="112"/>
    <s v="EVRevolution"/>
    <m/>
    <m/>
    <x v="4"/>
    <n v="150000"/>
    <n v="0"/>
    <n v="0"/>
    <n v="1.1326666666666667E-2"/>
    <n v="0.16118220597196831"/>
  </r>
  <r>
    <s v="P084"/>
    <s v="Facebook"/>
    <d v="2024-12-09T00:00:00"/>
    <s v="Image"/>
    <s v="Check out our latest image on facebook!"/>
    <n v="1841"/>
    <n v="851"/>
    <n v="342"/>
    <n v="34979"/>
    <n v="3289"/>
    <n v="34154"/>
    <n v="255"/>
    <s v="FutureOfDriving"/>
    <m/>
    <m/>
    <x v="3"/>
    <n v="0"/>
    <n v="0"/>
    <n v="0"/>
    <s v=""/>
    <n v="8.6737756939878216E-2"/>
  </r>
  <r>
    <s v="P085"/>
    <s v="Instagram"/>
    <d v="2025-04-19T00:00:00"/>
    <s v="Image"/>
    <s v="Check out our latest image on instagram!"/>
    <n v="4177"/>
    <n v="569"/>
    <n v="55"/>
    <n v="25062"/>
    <n v="5031"/>
    <n v="24847"/>
    <n v="230"/>
    <s v="FutureOfDriving"/>
    <m/>
    <m/>
    <x v="0"/>
    <n v="0"/>
    <n v="0"/>
    <n v="0"/>
    <s v=""/>
    <n v="0.19156491900087783"/>
  </r>
  <r>
    <s v="P086"/>
    <s v="YouTube"/>
    <d v="2025-01-27T00:00:00"/>
    <s v="Text"/>
    <s v="Check out our latest text on youtube!"/>
    <n v="3428"/>
    <n v="305"/>
    <n v="85"/>
    <n v="58276"/>
    <n v="4060"/>
    <n v="58052"/>
    <n v="242"/>
    <s v="EVRevolution"/>
    <s v="BetterWithTesla"/>
    <m/>
    <x v="3"/>
    <n v="150000"/>
    <n v="180000"/>
    <n v="0"/>
    <n v="1.2303030303030303E-2"/>
    <n v="6.5515821264328367E-2"/>
  </r>
  <r>
    <s v="P087"/>
    <s v="Twitter"/>
    <d v="2024-06-06T00:00:00"/>
    <s v="Video"/>
    <s v="Check out our latest video on twitter!"/>
    <n v="1436"/>
    <n v="765"/>
    <n v="496"/>
    <n v="12924"/>
    <n v="2894"/>
    <n v="12701"/>
    <n v="197"/>
    <s v="FutureOfDriving"/>
    <m/>
    <m/>
    <x v="2"/>
    <n v="0"/>
    <n v="0"/>
    <n v="0"/>
    <s v=""/>
    <n v="0.20868152274837512"/>
  </r>
  <r>
    <s v="P088"/>
    <s v="Facebook"/>
    <d v="2024-07-07T00:00:00"/>
    <s v="Story"/>
    <s v="Check out our latest story on facebook!"/>
    <n v="302"/>
    <n v="47"/>
    <n v="430"/>
    <n v="5738"/>
    <n v="804"/>
    <n v="4890"/>
    <n v="25"/>
    <s v="TeslaCoInnovation"/>
    <m/>
    <m/>
    <x v="3"/>
    <n v="0"/>
    <n v="0"/>
    <n v="0"/>
    <s v=""/>
    <n v="0.13576158940397351"/>
  </r>
  <r>
    <s v="P089"/>
    <s v="Twitter"/>
    <d v="2025-01-10T00:00:00"/>
    <s v="Image"/>
    <s v="Check out our latest image on twitter!"/>
    <n v="2214"/>
    <n v="249"/>
    <n v="152"/>
    <n v="15498"/>
    <n v="2795"/>
    <n v="14800"/>
    <n v="180"/>
    <s v="EVRevolution"/>
    <m/>
    <m/>
    <x v="4"/>
    <n v="150000"/>
    <n v="0"/>
    <n v="0"/>
    <n v="1.8633333333333332E-2"/>
    <n v="0.16873144921925409"/>
  </r>
  <r>
    <s v="P090"/>
    <s v="Instagram"/>
    <d v="2024-06-03T00:00:00"/>
    <s v="Image"/>
    <s v="Check out our latest image on instagram!"/>
    <n v="3861"/>
    <n v="960"/>
    <n v="101"/>
    <n v="69498"/>
    <n v="5219"/>
    <n v="68817"/>
    <n v="297"/>
    <s v="TeslaCoInnovation"/>
    <m/>
    <m/>
    <x v="3"/>
    <n v="0"/>
    <n v="0"/>
    <n v="0"/>
    <s v=""/>
    <n v="7.0822181933293038E-2"/>
  </r>
  <r>
    <s v="P091"/>
    <s v="Facebook"/>
    <d v="2025-03-24T00:00:00"/>
    <s v="Image"/>
    <s v="Check out our latest image on facebook!"/>
    <n v="1263"/>
    <n v="397"/>
    <n v="357"/>
    <n v="25260"/>
    <n v="2154"/>
    <n v="24615"/>
    <n v="137"/>
    <s v="EVRevolution"/>
    <m/>
    <m/>
    <x v="3"/>
    <n v="150000"/>
    <n v="0"/>
    <n v="0"/>
    <n v="1.436E-2"/>
    <n v="7.984956452889945E-2"/>
  </r>
  <r>
    <s v="P092"/>
    <s v="Twitter"/>
    <d v="2024-10-21T00:00:00"/>
    <s v="Story"/>
    <s v="Check out our latest story on twitter!"/>
    <n v="3801"/>
    <n v="967"/>
    <n v="401"/>
    <n v="38010"/>
    <n v="5405"/>
    <n v="37625"/>
    <n v="236"/>
    <s v="FutureOfDriving"/>
    <m/>
    <m/>
    <x v="2"/>
    <n v="0"/>
    <n v="0"/>
    <n v="0"/>
    <s v=""/>
    <n v="0.13599052880820836"/>
  </r>
  <r>
    <s v="P093"/>
    <s v="Instagram"/>
    <d v="2024-12-11T00:00:00"/>
    <s v="Video"/>
    <s v="Check out our latest video on instagram!"/>
    <n v="1431"/>
    <n v="951"/>
    <n v="26"/>
    <n v="8586"/>
    <n v="2558"/>
    <n v="8396"/>
    <n v="150"/>
    <s v="EVRevolution"/>
    <m/>
    <m/>
    <x v="2"/>
    <n v="150000"/>
    <n v="0"/>
    <n v="0"/>
    <n v="1.7053333333333334E-2"/>
    <n v="0.28045655718611695"/>
  </r>
  <r>
    <s v="P094"/>
    <s v="Instagram"/>
    <d v="2024-11-07T00:00:00"/>
    <s v="Image"/>
    <s v="Check out our latest image on instagram!"/>
    <n v="2647"/>
    <n v="304"/>
    <n v="170"/>
    <n v="18529"/>
    <n v="3167"/>
    <n v="17841"/>
    <n v="46"/>
    <s v="FutureOfDriving"/>
    <m/>
    <m/>
    <x v="2"/>
    <n v="0"/>
    <n v="0"/>
    <n v="0"/>
    <s v=""/>
    <n v="0.16843866371633656"/>
  </r>
  <r>
    <s v="P095"/>
    <s v="Instagram"/>
    <d v="2024-11-08T00:00:00"/>
    <s v="Text"/>
    <s v="Check out our latest text on instagram!"/>
    <n v="3182"/>
    <n v="559"/>
    <n v="160"/>
    <n v="57276"/>
    <n v="4064"/>
    <n v="56890"/>
    <n v="163"/>
    <s v="FutureOfDriving"/>
    <m/>
    <m/>
    <x v="3"/>
    <n v="0"/>
    <n v="0"/>
    <n v="0"/>
    <s v=""/>
    <n v="6.8108806480899509E-2"/>
  </r>
  <r>
    <s v="P096"/>
    <s v="Twitter"/>
    <d v="2024-09-10T00:00:00"/>
    <s v="Image"/>
    <s v="Check out our latest image on twitter!"/>
    <n v="1238"/>
    <n v="366"/>
    <n v="444"/>
    <n v="19808"/>
    <n v="2171"/>
    <n v="19334"/>
    <n v="123"/>
    <s v="FutureOfDriving"/>
    <m/>
    <m/>
    <x v="4"/>
    <n v="0"/>
    <n v="0"/>
    <n v="0"/>
    <s v=""/>
    <n v="0.10339256865912763"/>
  </r>
  <r>
    <s v="P097"/>
    <s v="Instagram"/>
    <d v="2024-08-13T00:00:00"/>
    <s v="Image"/>
    <s v="Check out our latest image on instagram!"/>
    <n v="4739"/>
    <n v="527"/>
    <n v="135"/>
    <n v="61607"/>
    <n v="5437"/>
    <n v="61333"/>
    <n v="36"/>
    <s v="TeslaCoInnovation"/>
    <s v="AnytimeIsTeslaTime"/>
    <m/>
    <x v="1"/>
    <n v="0"/>
    <n v="200000"/>
    <n v="0"/>
    <n v="2.7185000000000001E-2"/>
    <n v="8.7668609086629767E-2"/>
  </r>
  <r>
    <s v="P098"/>
    <s v="Twitter"/>
    <d v="2024-06-10T00:00:00"/>
    <s v="Story"/>
    <s v="Check out our latest story on twitter!"/>
    <n v="1575"/>
    <n v="771"/>
    <n v="486"/>
    <n v="25200"/>
    <n v="2849"/>
    <n v="24826"/>
    <n v="17"/>
    <s v="FutureOfDriving"/>
    <m/>
    <m/>
    <x v="3"/>
    <n v="0"/>
    <n v="0"/>
    <n v="0"/>
    <s v=""/>
    <n v="0.11238095238095239"/>
  </r>
  <r>
    <s v="P099"/>
    <s v="YouTube"/>
    <d v="2024-07-02T00:00:00"/>
    <s v="Carousel"/>
    <s v="Check out our latest carousel on youtube!"/>
    <n v="4171"/>
    <n v="548"/>
    <n v="86"/>
    <n v="66736"/>
    <n v="4978"/>
    <n v="66634"/>
    <n v="173"/>
    <s v="FutureOfDriving"/>
    <m/>
    <m/>
    <x v="2"/>
    <n v="0"/>
    <n v="0"/>
    <n v="0"/>
    <s v=""/>
    <n v="7.2000119875329657E-2"/>
  </r>
  <r>
    <s v="P100"/>
    <s v="YouTube"/>
    <d v="2025-02-10T00:00:00"/>
    <s v="Video"/>
    <s v="Check out our latest video on youtube!"/>
    <n v="1766"/>
    <n v="92"/>
    <n v="424"/>
    <n v="24724"/>
    <n v="2334"/>
    <n v="24333"/>
    <n v="52"/>
    <s v="EVRevolution"/>
    <m/>
    <m/>
    <x v="4"/>
    <n v="150000"/>
    <n v="0"/>
    <n v="0"/>
    <n v="1.5559999999999999E-2"/>
    <n v="9.2298980747451867E-2"/>
  </r>
  <r>
    <s v="P101"/>
    <s v="YouTube"/>
    <d v="2024-10-18T00:00:00"/>
    <s v="Video"/>
    <s v="Check out our latest video on youtube!"/>
    <n v="4450"/>
    <n v="983"/>
    <n v="143"/>
    <n v="75650"/>
    <n v="5588"/>
    <n v="75008"/>
    <n v="12"/>
    <s v="FutureOfDriving"/>
    <m/>
    <m/>
    <x v="2"/>
    <n v="0"/>
    <n v="0"/>
    <n v="0"/>
    <s v=""/>
    <n v="7.3707865168539333E-2"/>
  </r>
  <r>
    <s v="P102"/>
    <s v="Twitter"/>
    <d v="2024-09-18T00:00:00"/>
    <s v="Reel"/>
    <s v="Check out our latest reel on twitter!"/>
    <n v="1000"/>
    <n v="978"/>
    <n v="162"/>
    <n v="6000"/>
    <n v="2363"/>
    <n v="5221"/>
    <n v="223"/>
    <s v="EVRevolution"/>
    <m/>
    <m/>
    <x v="1"/>
    <n v="150000"/>
    <n v="0"/>
    <n v="0"/>
    <n v="1.5753333333333334E-2"/>
    <n v="0.35666666666666669"/>
  </r>
  <r>
    <s v="P103"/>
    <s v="Facebook"/>
    <d v="2024-06-11T00:00:00"/>
    <s v="Image"/>
    <s v="Check out our latest image on facebook!"/>
    <n v="3689"/>
    <n v="48"/>
    <n v="306"/>
    <n v="40579"/>
    <n v="4255"/>
    <n v="39588"/>
    <n v="212"/>
    <s v="EVRevolution"/>
    <m/>
    <m/>
    <x v="1"/>
    <n v="150000"/>
    <n v="0"/>
    <n v="0"/>
    <n v="2.8366666666666665E-2"/>
    <n v="9.9632815002833983E-2"/>
  </r>
  <r>
    <s v="P104"/>
    <s v="YouTube"/>
    <d v="2025-03-23T00:00:00"/>
    <s v="Story"/>
    <s v="Check out our latest story on youtube!"/>
    <n v="3655"/>
    <n v="568"/>
    <n v="286"/>
    <n v="32895"/>
    <n v="4708"/>
    <n v="32015"/>
    <n v="199"/>
    <s v="TeslaCoInnovation"/>
    <m/>
    <m/>
    <x v="2"/>
    <n v="0"/>
    <n v="0"/>
    <n v="0"/>
    <s v=""/>
    <n v="0.13707250341997265"/>
  </r>
  <r>
    <s v="P105"/>
    <s v="Instagram"/>
    <d v="2024-06-14T00:00:00"/>
    <s v="Carousel"/>
    <s v="Check out our latest carousel on instagram!"/>
    <n v="498"/>
    <n v="38"/>
    <n v="42"/>
    <n v="4482"/>
    <n v="610"/>
    <n v="3647"/>
    <n v="32"/>
    <s v="FutureOfDriving"/>
    <m/>
    <m/>
    <x v="0"/>
    <n v="0"/>
    <n v="0"/>
    <n v="0"/>
    <s v=""/>
    <n v="0.12896028558679162"/>
  </r>
  <r>
    <s v="P106"/>
    <s v="Instagram"/>
    <d v="2025-02-04T00:00:00"/>
    <s v="Image"/>
    <s v="Check out our latest image on instagram!"/>
    <n v="4619"/>
    <n v="821"/>
    <n v="499"/>
    <n v="69285"/>
    <n v="6237"/>
    <n v="69141"/>
    <n v="298"/>
    <s v="TeslaCoInnovation"/>
    <m/>
    <m/>
    <x v="3"/>
    <n v="0"/>
    <n v="0"/>
    <n v="0"/>
    <s v=""/>
    <n v="8.5718409468138843E-2"/>
  </r>
  <r>
    <s v="P107"/>
    <s v="YouTube"/>
    <d v="2024-06-21T00:00:00"/>
    <s v="Image"/>
    <s v="Check out our latest image on youtube!"/>
    <n v="4832"/>
    <n v="893"/>
    <n v="10"/>
    <n v="91808"/>
    <n v="5917"/>
    <n v="91296"/>
    <n v="182"/>
    <s v="TeslaCoInnovation"/>
    <m/>
    <m/>
    <x v="4"/>
    <n v="0"/>
    <n v="0"/>
    <n v="0"/>
    <s v=""/>
    <n v="6.2467323109097243E-2"/>
  </r>
  <r>
    <s v="P108"/>
    <s v="Twitter"/>
    <d v="2025-03-25T00:00:00"/>
    <s v="Video"/>
    <s v="Check out our latest video on twitter!"/>
    <n v="4050"/>
    <n v="871"/>
    <n v="347"/>
    <n v="52650"/>
    <n v="5477"/>
    <n v="51755"/>
    <n v="209"/>
    <s v="TeslaCoInnovation"/>
    <m/>
    <m/>
    <x v="1"/>
    <n v="0"/>
    <n v="0"/>
    <n v="0"/>
    <s v=""/>
    <n v="0.10005698005698006"/>
  </r>
  <r>
    <s v="P109"/>
    <s v="Twitter"/>
    <d v="2024-08-08T00:00:00"/>
    <s v="Story"/>
    <s v="Check out our latest story on twitter!"/>
    <n v="3649"/>
    <n v="215"/>
    <n v="413"/>
    <n v="25543"/>
    <n v="4444"/>
    <n v="24963"/>
    <n v="167"/>
    <s v="FutureOfDriving"/>
    <m/>
    <m/>
    <x v="2"/>
    <n v="0"/>
    <n v="0"/>
    <n v="0"/>
    <s v=""/>
    <n v="0.16744313510550835"/>
  </r>
  <r>
    <s v="P110"/>
    <s v="Instagram"/>
    <d v="2024-07-29T00:00:00"/>
    <s v="Reel"/>
    <s v="Check out our latest reel on instagram!"/>
    <n v="3523"/>
    <n v="753"/>
    <n v="482"/>
    <n v="38753"/>
    <n v="5028"/>
    <n v="38579"/>
    <n v="270"/>
    <s v="EVRevolution"/>
    <m/>
    <m/>
    <x v="1"/>
    <n v="150000"/>
    <n v="0"/>
    <n v="0"/>
    <n v="3.3520000000000001E-2"/>
    <n v="0.12277759141227776"/>
  </r>
  <r>
    <s v="P111"/>
    <s v="YouTube"/>
    <d v="2024-11-23T00:00:00"/>
    <s v="Image"/>
    <s v="Check out our latest image on youtube!"/>
    <n v="2719"/>
    <n v="17"/>
    <n v="285"/>
    <n v="40785"/>
    <n v="3061"/>
    <n v="40281"/>
    <n v="40"/>
    <s v="TeslaCoInnovation"/>
    <m/>
    <m/>
    <x v="1"/>
    <n v="0"/>
    <n v="0"/>
    <n v="0"/>
    <s v=""/>
    <n v="7.4071349760941527E-2"/>
  </r>
  <r>
    <s v="P112"/>
    <s v="Twitter"/>
    <d v="2024-10-05T00:00:00"/>
    <s v="Story"/>
    <s v="Check out our latest story on twitter!"/>
    <n v="1957"/>
    <n v="877"/>
    <n v="238"/>
    <n v="17613"/>
    <n v="3369"/>
    <n v="16865"/>
    <n v="297"/>
    <s v="FutureOfDriving"/>
    <m/>
    <m/>
    <x v="2"/>
    <n v="0"/>
    <n v="0"/>
    <n v="0"/>
    <s v=""/>
    <n v="0.17441662408448305"/>
  </r>
  <r>
    <s v="P113"/>
    <s v="Twitter"/>
    <d v="2024-10-02T00:00:00"/>
    <s v="Carousel"/>
    <s v="Check out our latest carousel on twitter!"/>
    <n v="4419"/>
    <n v="236"/>
    <n v="369"/>
    <n v="44190"/>
    <n v="5034"/>
    <n v="43582"/>
    <n v="10"/>
    <s v="EVRevolution"/>
    <m/>
    <m/>
    <x v="0"/>
    <n v="150000"/>
    <n v="0"/>
    <n v="0"/>
    <n v="3.356E-2"/>
    <n v="0.11369088028965829"/>
  </r>
  <r>
    <s v="P114"/>
    <s v="Twitter"/>
    <d v="2024-11-14T00:00:00"/>
    <s v="Story"/>
    <s v="Check out our latest story on twitter!"/>
    <n v="4000"/>
    <n v="689"/>
    <n v="488"/>
    <n v="40000"/>
    <n v="5221"/>
    <n v="39569"/>
    <n v="44"/>
    <s v="FutureOfDriving"/>
    <m/>
    <m/>
    <x v="0"/>
    <n v="0"/>
    <n v="0"/>
    <n v="0"/>
    <s v=""/>
    <n v="0.12942500000000001"/>
  </r>
  <r>
    <s v="P115"/>
    <s v="Twitter"/>
    <d v="2025-05-11T00:00:00"/>
    <s v="Image"/>
    <s v="Check out our latest image on twitter!"/>
    <n v="2493"/>
    <n v="97"/>
    <n v="44"/>
    <n v="42381"/>
    <n v="2876"/>
    <n v="41991"/>
    <n v="242"/>
    <s v="TeslaCoInnovation"/>
    <s v="AnytimeIsTeslaTime"/>
    <m/>
    <x v="3"/>
    <n v="0"/>
    <n v="200000"/>
    <n v="0"/>
    <n v="1.438E-2"/>
    <n v="6.2150491965739366E-2"/>
  </r>
  <r>
    <s v="P116"/>
    <s v="YouTube"/>
    <d v="2025-03-18T00:00:00"/>
    <s v="Reel"/>
    <s v="Check out our latest reel on youtube!"/>
    <n v="3704"/>
    <n v="186"/>
    <n v="458"/>
    <n v="25928"/>
    <n v="4479"/>
    <n v="25081"/>
    <n v="131"/>
    <s v="TeslaCoInnovation"/>
    <m/>
    <m/>
    <x v="4"/>
    <n v="0"/>
    <n v="0"/>
    <n v="0"/>
    <s v=""/>
    <n v="0.16769515581610614"/>
  </r>
  <r>
    <s v="P117"/>
    <s v="Twitter"/>
    <d v="2024-11-04T00:00:00"/>
    <s v="Image"/>
    <s v="Check out our latest image on twitter!"/>
    <n v="1606"/>
    <n v="451"/>
    <n v="405"/>
    <n v="20878"/>
    <n v="2681"/>
    <n v="20190"/>
    <n v="219"/>
    <s v="EVRevolution"/>
    <m/>
    <m/>
    <x v="3"/>
    <n v="150000"/>
    <n v="0"/>
    <n v="0"/>
    <n v="1.7873333333333335E-2"/>
    <n v="0.11792317271769326"/>
  </r>
  <r>
    <s v="P118"/>
    <s v="Facebook"/>
    <d v="2024-11-04T00:00:00"/>
    <s v="Image"/>
    <s v="Check out our latest image on facebook!"/>
    <n v="4551"/>
    <n v="714"/>
    <n v="207"/>
    <n v="68265"/>
    <n v="5529"/>
    <n v="67754"/>
    <n v="57"/>
    <s v="FutureOfDriving"/>
    <m/>
    <m/>
    <x v="2"/>
    <n v="0"/>
    <n v="0"/>
    <n v="0"/>
    <s v=""/>
    <n v="8.0158206987475278E-2"/>
  </r>
  <r>
    <s v="P119"/>
    <s v="Instagram"/>
    <d v="2025-02-07T00:00:00"/>
    <s v="Reel"/>
    <s v="Check out our latest reel on instagram!"/>
    <n v="1970"/>
    <n v="675"/>
    <n v="478"/>
    <n v="9850"/>
    <n v="3240"/>
    <n v="8924"/>
    <n v="117"/>
    <s v="FutureOfDriving"/>
    <m/>
    <m/>
    <x v="4"/>
    <n v="0"/>
    <n v="0"/>
    <n v="0"/>
    <s v=""/>
    <n v="0.31705583756345179"/>
  </r>
  <r>
    <s v="P120"/>
    <s v="Facebook"/>
    <d v="2024-10-21T00:00:00"/>
    <s v="Story"/>
    <s v="Check out our latest story on facebook!"/>
    <n v="780"/>
    <n v="928"/>
    <n v="301"/>
    <n v="8580"/>
    <n v="2100"/>
    <n v="8081"/>
    <n v="91"/>
    <s v="EVRevolution"/>
    <m/>
    <m/>
    <x v="2"/>
    <n v="150000"/>
    <n v="0"/>
    <n v="0"/>
    <n v="1.4E-2"/>
    <n v="0.23414918414918415"/>
  </r>
  <r>
    <s v="P121"/>
    <s v="Instagram"/>
    <d v="2024-07-29T00:00:00"/>
    <s v="Story"/>
    <s v="Check out our latest story on instagram!"/>
    <n v="498"/>
    <n v="701"/>
    <n v="412"/>
    <n v="4980"/>
    <n v="1796"/>
    <n v="4185"/>
    <n v="185"/>
    <s v="FutureOfDriving"/>
    <m/>
    <m/>
    <x v="4"/>
    <n v="0"/>
    <n v="0"/>
    <n v="0"/>
    <s v=""/>
    <n v="0.32349397590361445"/>
  </r>
  <r>
    <s v="P122"/>
    <s v="Instagram"/>
    <d v="2024-10-02T00:00:00"/>
    <s v="Text"/>
    <s v="Check out our latest text on instagram!"/>
    <n v="3432"/>
    <n v="869"/>
    <n v="123"/>
    <n v="54912"/>
    <n v="4688"/>
    <n v="53916"/>
    <n v="264"/>
    <s v="EVRevolution"/>
    <m/>
    <m/>
    <x v="1"/>
    <n v="150000"/>
    <n v="0"/>
    <n v="0"/>
    <n v="3.1253333333333334E-2"/>
    <n v="8.0565268065268064E-2"/>
  </r>
  <r>
    <s v="P123"/>
    <s v="Instagram"/>
    <d v="2024-06-14T00:00:00"/>
    <s v="Story"/>
    <s v="Check out our latest story on instagram!"/>
    <n v="4363"/>
    <n v="649"/>
    <n v="140"/>
    <n v="21815"/>
    <n v="5309"/>
    <n v="21481"/>
    <n v="157"/>
    <s v="EVRevolution"/>
    <m/>
    <m/>
    <x v="0"/>
    <n v="150000"/>
    <n v="0"/>
    <n v="0"/>
    <n v="3.5393333333333332E-2"/>
    <n v="0.23616777446710979"/>
  </r>
  <r>
    <s v="P124"/>
    <s v="YouTube"/>
    <d v="2025-04-06T00:00:00"/>
    <s v="Carousel"/>
    <s v="Check out our latest carousel on youtube!"/>
    <n v="736"/>
    <n v="771"/>
    <n v="225"/>
    <n v="5152"/>
    <n v="1751"/>
    <n v="4706"/>
    <n v="19"/>
    <s v="EVRevolution"/>
    <m/>
    <m/>
    <x v="0"/>
    <n v="150000"/>
    <n v="0"/>
    <n v="0"/>
    <n v="1.1673333333333334E-2"/>
    <n v="0.33618012422360249"/>
  </r>
  <r>
    <s v="P125"/>
    <s v="Twitter"/>
    <d v="2024-09-08T00:00:00"/>
    <s v="Carousel"/>
    <s v="Check out our latest carousel on twitter!"/>
    <n v="3811"/>
    <n v="866"/>
    <n v="216"/>
    <n v="34299"/>
    <n v="5126"/>
    <n v="34088"/>
    <n v="233"/>
    <s v="TeslaCoInnovation"/>
    <m/>
    <m/>
    <x v="3"/>
    <n v="0"/>
    <n v="0"/>
    <n v="0"/>
    <s v=""/>
    <n v="0.14265722032712325"/>
  </r>
  <r>
    <s v="P126"/>
    <s v="Instagram"/>
    <d v="2025-03-28T00:00:00"/>
    <s v="Carousel"/>
    <s v="Check out our latest carousel on instagram!"/>
    <n v="4158"/>
    <n v="167"/>
    <n v="241"/>
    <n v="45738"/>
    <n v="4708"/>
    <n v="45183"/>
    <n v="142"/>
    <s v="FutureOfDriving"/>
    <m/>
    <m/>
    <x v="4"/>
    <n v="0"/>
    <n v="0"/>
    <n v="0"/>
    <s v=""/>
    <n v="9.9829463465827106E-2"/>
  </r>
  <r>
    <s v="P127"/>
    <s v="Facebook"/>
    <d v="2025-01-27T00:00:00"/>
    <s v="Reel"/>
    <s v="Check out our latest reel on facebook!"/>
    <n v="3452"/>
    <n v="652"/>
    <n v="442"/>
    <n v="65588"/>
    <n v="4704"/>
    <n v="65049"/>
    <n v="158"/>
    <s v="FutureOfDriving"/>
    <m/>
    <m/>
    <x v="2"/>
    <n v="0"/>
    <n v="0"/>
    <n v="0"/>
    <s v=""/>
    <n v="6.9311459413307311E-2"/>
  </r>
  <r>
    <s v="P128"/>
    <s v="Twitter"/>
    <d v="2025-01-10T00:00:00"/>
    <s v="Image"/>
    <s v="Check out our latest image on twitter!"/>
    <n v="3092"/>
    <n v="106"/>
    <n v="291"/>
    <n v="27828"/>
    <n v="3591"/>
    <n v="27217"/>
    <n v="102"/>
    <s v="FutureOfDriving"/>
    <m/>
    <m/>
    <x v="4"/>
    <n v="0"/>
    <n v="0"/>
    <n v="0"/>
    <s v=""/>
    <n v="0.12537731780940059"/>
  </r>
  <r>
    <s v="P129"/>
    <s v="Twitter"/>
    <d v="2024-07-21T00:00:00"/>
    <s v="Text"/>
    <s v="Check out our latest text on twitter!"/>
    <n v="2147"/>
    <n v="430"/>
    <n v="393"/>
    <n v="17176"/>
    <n v="3140"/>
    <n v="16483"/>
    <n v="170"/>
    <s v="TeslaCoInnovation"/>
    <m/>
    <m/>
    <x v="4"/>
    <n v="0"/>
    <n v="0"/>
    <n v="0"/>
    <s v=""/>
    <n v="0.17291569632044715"/>
  </r>
  <r>
    <s v="P130"/>
    <s v="YouTube"/>
    <d v="2024-09-29T00:00:00"/>
    <s v="Reel"/>
    <s v="Check out our latest reel on youtube!"/>
    <n v="2936"/>
    <n v="439"/>
    <n v="44"/>
    <n v="38168"/>
    <n v="3441"/>
    <n v="37571"/>
    <n v="22"/>
    <s v="EVRevolution"/>
    <m/>
    <m/>
    <x v="3"/>
    <n v="150000"/>
    <n v="0"/>
    <n v="0"/>
    <n v="2.2939999999999999E-2"/>
    <n v="8.9577656675749323E-2"/>
  </r>
  <r>
    <s v="P131"/>
    <s v="Instagram"/>
    <d v="2024-10-21T00:00:00"/>
    <s v="Reel"/>
    <s v="Check out our latest reel on instagram!"/>
    <n v="4840"/>
    <n v="658"/>
    <n v="211"/>
    <n v="43560"/>
    <n v="5766"/>
    <n v="43225"/>
    <n v="57"/>
    <s v="FutureOfDriving"/>
    <m/>
    <m/>
    <x v="2"/>
    <n v="0"/>
    <n v="0"/>
    <n v="0"/>
    <s v=""/>
    <n v="0.13106060606060607"/>
  </r>
  <r>
    <s v="P132"/>
    <s v="Instagram"/>
    <d v="2025-03-04T00:00:00"/>
    <s v="Story"/>
    <s v="Check out our latest story on instagram!"/>
    <n v="1947"/>
    <n v="842"/>
    <n v="101"/>
    <n v="21417"/>
    <n v="3076"/>
    <n v="20967"/>
    <n v="186"/>
    <s v="FutureOfDriving"/>
    <m/>
    <m/>
    <x v="1"/>
    <n v="0"/>
    <n v="0"/>
    <n v="0"/>
    <s v=""/>
    <n v="0.13493953401503478"/>
  </r>
  <r>
    <s v="P133"/>
    <s v="Facebook"/>
    <d v="2025-02-06T00:00:00"/>
    <s v="Image"/>
    <s v="Check out our latest image on facebook!"/>
    <n v="2072"/>
    <n v="532"/>
    <n v="71"/>
    <n v="37296"/>
    <n v="2700"/>
    <n v="36467"/>
    <n v="25"/>
    <s v="TeslaCoInnovation"/>
    <m/>
    <m/>
    <x v="3"/>
    <n v="0"/>
    <n v="0"/>
    <n v="0"/>
    <s v=""/>
    <n v="7.172350922350923E-2"/>
  </r>
  <r>
    <s v="P134"/>
    <s v="Twitter"/>
    <d v="2025-04-24T00:00:00"/>
    <s v="Reel"/>
    <s v="Check out our latest reel on twitter!"/>
    <n v="3731"/>
    <n v="115"/>
    <n v="135"/>
    <n v="55965"/>
    <n v="4084"/>
    <n v="55436"/>
    <n v="103"/>
    <s v="TeslaCoInnovation"/>
    <m/>
    <m/>
    <x v="0"/>
    <n v="0"/>
    <n v="0"/>
    <n v="0"/>
    <s v=""/>
    <n v="7.1133744304476013E-2"/>
  </r>
  <r>
    <s v="P135"/>
    <s v="Facebook"/>
    <d v="2024-11-28T00:00:00"/>
    <s v="Text"/>
    <s v="Check out our latest text on facebook!"/>
    <n v="4213"/>
    <n v="253"/>
    <n v="434"/>
    <n v="75834"/>
    <n v="5172"/>
    <n v="75437"/>
    <n v="272"/>
    <s v="FutureOfDriving"/>
    <m/>
    <m/>
    <x v="3"/>
    <n v="0"/>
    <n v="0"/>
    <n v="0"/>
    <s v=""/>
    <n v="6.461481657304112E-2"/>
  </r>
  <r>
    <s v="P136"/>
    <s v="Instagram"/>
    <d v="2024-07-11T00:00:00"/>
    <s v="Text"/>
    <s v="Check out our latest text on instagram!"/>
    <n v="3134"/>
    <n v="888"/>
    <n v="444"/>
    <n v="21938"/>
    <n v="4596"/>
    <n v="21337"/>
    <n v="130"/>
    <s v="EVRevolution"/>
    <m/>
    <m/>
    <x v="3"/>
    <n v="150000"/>
    <n v="0"/>
    <n v="0"/>
    <n v="3.0640000000000001E-2"/>
    <n v="0.20357370772176134"/>
  </r>
  <r>
    <s v="P137"/>
    <s v="Facebook"/>
    <d v="2024-07-31T00:00:00"/>
    <s v="Video"/>
    <s v="Check out our latest video on facebook!"/>
    <n v="3008"/>
    <n v="94"/>
    <n v="37"/>
    <n v="15040"/>
    <n v="3416"/>
    <n v="14639"/>
    <n v="277"/>
    <s v="FutureOfDriving"/>
    <m/>
    <m/>
    <x v="4"/>
    <n v="0"/>
    <n v="0"/>
    <n v="0"/>
    <s v=""/>
    <n v="0.20871010638297871"/>
  </r>
  <r>
    <s v="P138"/>
    <s v="Twitter"/>
    <d v="2025-03-29T00:00:00"/>
    <s v="Image"/>
    <s v="Check out our latest image on twitter!"/>
    <n v="305"/>
    <n v="187"/>
    <n v="243"/>
    <n v="4575"/>
    <n v="969"/>
    <n v="3704"/>
    <n v="234"/>
    <s v="FutureOfDriving"/>
    <m/>
    <m/>
    <x v="2"/>
    <n v="0"/>
    <n v="0"/>
    <n v="0"/>
    <s v=""/>
    <n v="0.16065573770491803"/>
  </r>
  <r>
    <s v="P139"/>
    <s v="YouTube"/>
    <d v="2024-10-29T00:00:00"/>
    <s v="Text"/>
    <s v="Check out our latest text on youtube!"/>
    <n v="2746"/>
    <n v="156"/>
    <n v="203"/>
    <n v="32952"/>
    <n v="3252"/>
    <n v="32147"/>
    <n v="147"/>
    <s v="EVRevolution"/>
    <m/>
    <m/>
    <x v="0"/>
    <n v="150000"/>
    <n v="0"/>
    <n v="0"/>
    <n v="2.1680000000000001E-2"/>
    <n v="9.422796795338674E-2"/>
  </r>
  <r>
    <s v="P140"/>
    <s v="Facebook"/>
    <d v="2024-07-15T00:00:00"/>
    <s v="Image"/>
    <s v="Check out our latest image on facebook!"/>
    <n v="2291"/>
    <n v="78"/>
    <n v="485"/>
    <n v="18328"/>
    <n v="2864"/>
    <n v="18101"/>
    <n v="10"/>
    <s v="EVRevolution"/>
    <s v="SmoothLikeNitroTesla"/>
    <m/>
    <x v="1"/>
    <n v="150000"/>
    <n v="250000"/>
    <n v="0"/>
    <n v="7.1599999999999997E-3"/>
    <n v="0.15571802706241816"/>
  </r>
  <r>
    <s v="P141"/>
    <s v="Twitter"/>
    <d v="2024-08-31T00:00:00"/>
    <s v="Image"/>
    <s v="Check out our latest image on twitter!"/>
    <n v="3170"/>
    <n v="857"/>
    <n v="379"/>
    <n v="19020"/>
    <n v="4646"/>
    <n v="18559"/>
    <n v="240"/>
    <s v="FutureOfDriving"/>
    <m/>
    <m/>
    <x v="4"/>
    <n v="0"/>
    <n v="0"/>
    <n v="0"/>
    <s v=""/>
    <n v="0.2316508937960042"/>
  </r>
  <r>
    <s v="P142"/>
    <s v="YouTube"/>
    <d v="2025-03-25T00:00:00"/>
    <s v="Story"/>
    <s v="Check out our latest story on youtube!"/>
    <n v="2070"/>
    <n v="275"/>
    <n v="386"/>
    <n v="39330"/>
    <n v="2845"/>
    <n v="38627"/>
    <n v="114"/>
    <s v="FutureOfDriving"/>
    <m/>
    <m/>
    <x v="3"/>
    <n v="0"/>
    <n v="0"/>
    <n v="0"/>
    <s v=""/>
    <n v="6.9438087973557078E-2"/>
  </r>
  <r>
    <s v="P143"/>
    <s v="YouTube"/>
    <d v="2024-10-02T00:00:00"/>
    <s v="Carousel"/>
    <s v="Check out our latest carousel on youtube!"/>
    <n v="80"/>
    <n v="362"/>
    <n v="80"/>
    <n v="1040"/>
    <n v="639"/>
    <n v="349"/>
    <n v="117"/>
    <s v="TeslaCoInnovation"/>
    <m/>
    <m/>
    <x v="2"/>
    <n v="0"/>
    <n v="0"/>
    <n v="0"/>
    <s v=""/>
    <n v="0.50192307692307692"/>
  </r>
  <r>
    <s v="P144"/>
    <s v="YouTube"/>
    <d v="2024-10-28T00:00:00"/>
    <s v="Story"/>
    <s v="Check out our latest story on youtube!"/>
    <n v="4929"/>
    <n v="749"/>
    <n v="452"/>
    <n v="93651"/>
    <n v="6196"/>
    <n v="92810"/>
    <n v="66"/>
    <s v="EVRevolution"/>
    <m/>
    <m/>
    <x v="3"/>
    <n v="150000"/>
    <n v="0"/>
    <n v="0"/>
    <n v="4.1306666666666665E-2"/>
    <n v="6.5455787978772245E-2"/>
  </r>
  <r>
    <s v="P145"/>
    <s v="Instagram"/>
    <d v="2024-08-12T00:00:00"/>
    <s v="Carousel"/>
    <s v="Check out our latest carousel on instagram!"/>
    <n v="1878"/>
    <n v="62"/>
    <n v="179"/>
    <n v="37560"/>
    <n v="2261"/>
    <n v="36874"/>
    <n v="142"/>
    <s v="TeslaCoInnovation"/>
    <m/>
    <m/>
    <x v="3"/>
    <n v="0"/>
    <n v="0"/>
    <n v="0"/>
    <s v=""/>
    <n v="5.6416400425985093E-2"/>
  </r>
  <r>
    <s v="P146"/>
    <s v="YouTube"/>
    <d v="2024-06-05T00:00:00"/>
    <s v="Reel"/>
    <s v="Check out our latest reel on youtube!"/>
    <n v="3065"/>
    <n v="772"/>
    <n v="142"/>
    <n v="18390"/>
    <n v="4179"/>
    <n v="17875"/>
    <n v="200"/>
    <s v="EVRevolution"/>
    <s v="AnytimeIsTeslaTime"/>
    <m/>
    <x v="4"/>
    <n v="150000"/>
    <n v="200000"/>
    <n v="0"/>
    <n v="1.1939999999999999E-2"/>
    <n v="0.21636759108210984"/>
  </r>
  <r>
    <s v="P147"/>
    <s v="Instagram"/>
    <d v="2024-10-21T00:00:00"/>
    <s v="Reel"/>
    <s v="Check out our latest reel on instagram!"/>
    <n v="3256"/>
    <n v="459"/>
    <n v="266"/>
    <n v="26048"/>
    <n v="4124"/>
    <n v="25529"/>
    <n v="143"/>
    <s v="TeslaCoInnovation"/>
    <m/>
    <m/>
    <x v="1"/>
    <n v="0"/>
    <n v="0"/>
    <n v="0"/>
    <s v=""/>
    <n v="0.15283323095823095"/>
  </r>
  <r>
    <s v="P148"/>
    <s v="Instagram"/>
    <d v="2025-04-15T00:00:00"/>
    <s v="Video"/>
    <s v="Check out our latest video on instagram!"/>
    <n v="4133"/>
    <n v="466"/>
    <n v="327"/>
    <n v="24798"/>
    <n v="5102"/>
    <n v="24620"/>
    <n v="176"/>
    <s v="EVRevolution"/>
    <m/>
    <m/>
    <x v="3"/>
    <n v="150000"/>
    <n v="0"/>
    <n v="0"/>
    <n v="3.4013333333333333E-2"/>
    <n v="0.19864505202032423"/>
  </r>
  <r>
    <s v="P149"/>
    <s v="Twitter"/>
    <d v="2024-06-16T00:00:00"/>
    <s v="Video"/>
    <s v="Check out our latest video on twitter!"/>
    <n v="1702"/>
    <n v="750"/>
    <n v="179"/>
    <n v="34040"/>
    <n v="2707"/>
    <n v="33174"/>
    <n v="76"/>
    <s v="EVRevolution"/>
    <m/>
    <m/>
    <x v="0"/>
    <n v="150000"/>
    <n v="0"/>
    <n v="0"/>
    <n v="1.8046666666666666E-2"/>
    <n v="7.7291421856639245E-2"/>
  </r>
  <r>
    <s v="P150"/>
    <s v="YouTube"/>
    <d v="2024-08-22T00:00:00"/>
    <s v="Carousel"/>
    <s v="Check out our latest carousel on youtube!"/>
    <n v="4295"/>
    <n v="853"/>
    <n v="325"/>
    <n v="85900"/>
    <n v="5763"/>
    <n v="85788"/>
    <n v="290"/>
    <s v="TeslaCoInnovation"/>
    <m/>
    <m/>
    <x v="3"/>
    <n v="0"/>
    <n v="0"/>
    <n v="0"/>
    <s v=""/>
    <n v="6.3713620488940623E-2"/>
  </r>
  <r>
    <s v="P151"/>
    <s v="Instagram"/>
    <d v="2024-07-26T00:00:00"/>
    <s v="Image"/>
    <s v="Check out our latest image on instagram!"/>
    <n v="3559"/>
    <n v="59"/>
    <n v="289"/>
    <n v="35590"/>
    <n v="4029"/>
    <n v="35105"/>
    <n v="122"/>
    <s v="EVRevolution"/>
    <m/>
    <m/>
    <x v="0"/>
    <n v="150000"/>
    <n v="0"/>
    <n v="0"/>
    <n v="2.6859999999999998E-2"/>
    <n v="0.10977802753582468"/>
  </r>
  <r>
    <s v="P152"/>
    <s v="Facebook"/>
    <d v="2025-04-22T00:00:00"/>
    <s v="Image"/>
    <s v="Check out our latest image on facebook!"/>
    <n v="4804"/>
    <n v="550"/>
    <n v="270"/>
    <n v="28824"/>
    <n v="5671"/>
    <n v="28370"/>
    <n v="47"/>
    <s v="EVRevolution"/>
    <m/>
    <m/>
    <x v="3"/>
    <n v="150000"/>
    <n v="0"/>
    <n v="0"/>
    <n v="3.7806666666666669E-2"/>
    <n v="0.19511518179295032"/>
  </r>
  <r>
    <s v="P153"/>
    <s v="Twitter"/>
    <d v="2025-01-01T00:00:00"/>
    <s v="Video"/>
    <s v="Check out our latest video on twitter!"/>
    <n v="754"/>
    <n v="197"/>
    <n v="257"/>
    <n v="6786"/>
    <n v="1420"/>
    <n v="6221"/>
    <n v="212"/>
    <s v="TeslaCoInnovation"/>
    <m/>
    <m/>
    <x v="2"/>
    <n v="0"/>
    <n v="0"/>
    <n v="0"/>
    <s v=""/>
    <n v="0.17801355732390214"/>
  </r>
  <r>
    <s v="P154"/>
    <s v="Instagram"/>
    <d v="2024-10-09T00:00:00"/>
    <s v="Carousel"/>
    <s v="Check out our latest carousel on instagram!"/>
    <n v="985"/>
    <n v="932"/>
    <n v="287"/>
    <n v="6895"/>
    <n v="2268"/>
    <n v="6757"/>
    <n v="64"/>
    <s v="FutureOfDriving"/>
    <m/>
    <m/>
    <x v="3"/>
    <n v="0"/>
    <n v="0"/>
    <n v="0"/>
    <s v=""/>
    <n v="0.31965192168237855"/>
  </r>
  <r>
    <s v="P155"/>
    <s v="YouTube"/>
    <d v="2024-12-21T00:00:00"/>
    <s v="Image"/>
    <s v="Check out our latest image on youtube!"/>
    <n v="2283"/>
    <n v="210"/>
    <n v="130"/>
    <n v="22830"/>
    <n v="2766"/>
    <n v="22617"/>
    <n v="143"/>
    <s v="FutureOfDriving"/>
    <m/>
    <m/>
    <x v="1"/>
    <n v="0"/>
    <n v="0"/>
    <n v="0"/>
    <s v=""/>
    <n v="0.11489268506351293"/>
  </r>
  <r>
    <s v="P156"/>
    <s v="Facebook"/>
    <d v="2024-10-22T00:00:00"/>
    <s v="Carousel"/>
    <s v="Check out our latest carousel on facebook!"/>
    <n v="3352"/>
    <n v="941"/>
    <n v="482"/>
    <n v="43576"/>
    <n v="5015"/>
    <n v="43338"/>
    <n v="240"/>
    <s v="FutureOfDriving"/>
    <m/>
    <m/>
    <x v="1"/>
    <n v="0"/>
    <n v="0"/>
    <n v="0"/>
    <s v=""/>
    <n v="0.1095786671562328"/>
  </r>
  <r>
    <s v="P157"/>
    <s v="YouTube"/>
    <d v="2024-07-23T00:00:00"/>
    <s v="Story"/>
    <s v="Check out our latest story on youtube!"/>
    <n v="4775"/>
    <n v="173"/>
    <n v="206"/>
    <n v="47750"/>
    <n v="5341"/>
    <n v="47544"/>
    <n v="187"/>
    <s v="FutureOfDriving"/>
    <m/>
    <m/>
    <x v="1"/>
    <n v="0"/>
    <n v="0"/>
    <n v="0"/>
    <s v=""/>
    <n v="0.10793717277486911"/>
  </r>
  <r>
    <s v="P158"/>
    <s v="Instagram"/>
    <d v="2024-08-11T00:00:00"/>
    <s v="Story"/>
    <s v="Check out our latest story on instagram!"/>
    <n v="1762"/>
    <n v="405"/>
    <n v="423"/>
    <n v="22906"/>
    <n v="2615"/>
    <n v="21925"/>
    <n v="25"/>
    <s v="TeslaCoInnovation"/>
    <m/>
    <m/>
    <x v="0"/>
    <n v="0"/>
    <n v="0"/>
    <n v="0"/>
    <s v=""/>
    <n v="0.11307081114118571"/>
  </r>
  <r>
    <s v="P159"/>
    <s v="Facebook"/>
    <d v="2024-11-25T00:00:00"/>
    <s v="Story"/>
    <s v="Check out our latest story on facebook!"/>
    <n v="2120"/>
    <n v="158"/>
    <n v="488"/>
    <n v="12720"/>
    <n v="2783"/>
    <n v="12085"/>
    <n v="17"/>
    <s v="FutureOfDriving"/>
    <m/>
    <m/>
    <x v="1"/>
    <n v="0"/>
    <n v="0"/>
    <n v="0"/>
    <s v=""/>
    <n v="0.21745283018867925"/>
  </r>
  <r>
    <s v="P160"/>
    <s v="Twitter"/>
    <d v="2024-08-24T00:00:00"/>
    <s v="Video"/>
    <s v="Check out our latest video on twitter!"/>
    <n v="1082"/>
    <n v="209"/>
    <n v="484"/>
    <n v="19476"/>
    <n v="1795"/>
    <n v="18654"/>
    <n v="20"/>
    <s v="TeslaCoInnovation"/>
    <m/>
    <m/>
    <x v="4"/>
    <n v="0"/>
    <n v="0"/>
    <n v="0"/>
    <s v=""/>
    <n v="9.1137810638734856E-2"/>
  </r>
  <r>
    <s v="P161"/>
    <s v="Twitter"/>
    <d v="2025-02-19T00:00:00"/>
    <s v="Text"/>
    <s v="Check out our latest text on twitter!"/>
    <n v="4671"/>
    <n v="876"/>
    <n v="366"/>
    <n v="51381"/>
    <n v="6158"/>
    <n v="50565"/>
    <n v="245"/>
    <s v="TeslaCoInnovation"/>
    <m/>
    <m/>
    <x v="3"/>
    <n v="0"/>
    <n v="0"/>
    <n v="0"/>
    <s v=""/>
    <n v="0.11508145034156594"/>
  </r>
  <r>
    <s v="P162"/>
    <s v="Facebook"/>
    <d v="2025-04-01T00:00:00"/>
    <s v="Story"/>
    <s v="Check out our latest story on facebook!"/>
    <n v="3430"/>
    <n v="566"/>
    <n v="164"/>
    <n v="48020"/>
    <n v="4280"/>
    <n v="47305"/>
    <n v="120"/>
    <s v="FutureOfDriving"/>
    <m/>
    <m/>
    <x v="4"/>
    <n v="0"/>
    <n v="0"/>
    <n v="0"/>
    <s v=""/>
    <n v="8.6630570595585168E-2"/>
  </r>
  <r>
    <s v="P163"/>
    <s v="Instagram"/>
    <d v="2025-04-08T00:00:00"/>
    <s v="Image"/>
    <s v="Check out our latest image on instagram!"/>
    <n v="4501"/>
    <n v="375"/>
    <n v="323"/>
    <n v="22505"/>
    <n v="5331"/>
    <n v="21836"/>
    <n v="132"/>
    <s v="TeslaCoInnovation"/>
    <m/>
    <m/>
    <x v="1"/>
    <n v="0"/>
    <n v="0"/>
    <n v="0"/>
    <s v=""/>
    <n v="0.23101532992668297"/>
  </r>
  <r>
    <s v="P164"/>
    <s v="YouTube"/>
    <d v="2025-02-27T00:00:00"/>
    <s v="Text"/>
    <s v="Check out our latest text on youtube!"/>
    <n v="4934"/>
    <n v="971"/>
    <n v="156"/>
    <n v="39472"/>
    <n v="6230"/>
    <n v="39025"/>
    <n v="169"/>
    <s v="TeslaCoInnovation"/>
    <s v="AnytimeIsTeslaTime"/>
    <m/>
    <x v="3"/>
    <n v="0"/>
    <n v="200000"/>
    <n v="0"/>
    <n v="3.1150000000000001E-2"/>
    <n v="0.15355188488042157"/>
  </r>
  <r>
    <s v="P165"/>
    <s v="Twitter"/>
    <d v="2024-12-11T00:00:00"/>
    <s v="Text"/>
    <s v="Check out our latest text on twitter!"/>
    <n v="3239"/>
    <n v="43"/>
    <n v="211"/>
    <n v="22673"/>
    <n v="3723"/>
    <n v="22171"/>
    <n v="230"/>
    <s v="TeslaCoInnovation"/>
    <m/>
    <m/>
    <x v="1"/>
    <n v="0"/>
    <n v="0"/>
    <n v="0"/>
    <s v=""/>
    <n v="0.15405989502933004"/>
  </r>
  <r>
    <s v="P166"/>
    <s v="Twitter"/>
    <d v="2025-02-16T00:00:00"/>
    <s v="Reel"/>
    <s v="Check out our latest reel on twitter!"/>
    <n v="1076"/>
    <n v="313"/>
    <n v="306"/>
    <n v="11836"/>
    <n v="1799"/>
    <n v="11596"/>
    <n v="104"/>
    <s v="FutureOfDriving"/>
    <m/>
    <m/>
    <x v="0"/>
    <n v="0"/>
    <n v="0"/>
    <n v="0"/>
    <s v=""/>
    <n v="0.14320716458262928"/>
  </r>
  <r>
    <s v="P167"/>
    <s v="Instagram"/>
    <d v="2024-11-28T00:00:00"/>
    <s v="Text"/>
    <s v="Check out our latest text on instagram!"/>
    <n v="4771"/>
    <n v="818"/>
    <n v="56"/>
    <n v="57252"/>
    <n v="5795"/>
    <n v="56378"/>
    <n v="150"/>
    <s v="FutureOfDriving"/>
    <m/>
    <m/>
    <x v="4"/>
    <n v="0"/>
    <n v="0"/>
    <n v="0"/>
    <s v=""/>
    <n v="9.859917557465242E-2"/>
  </r>
  <r>
    <s v="P168"/>
    <s v="Facebook"/>
    <d v="2024-11-12T00:00:00"/>
    <s v="Text"/>
    <s v="Check out our latest text on facebook!"/>
    <n v="2418"/>
    <n v="754"/>
    <n v="54"/>
    <n v="43524"/>
    <n v="3408"/>
    <n v="42743"/>
    <n v="182"/>
    <s v="EVRevolution"/>
    <m/>
    <m/>
    <x v="0"/>
    <n v="150000"/>
    <n v="0"/>
    <n v="0"/>
    <n v="2.2720000000000001E-2"/>
    <n v="7.412002573292896E-2"/>
  </r>
  <r>
    <s v="P169"/>
    <s v="YouTube"/>
    <d v="2024-12-03T00:00:00"/>
    <s v="Video"/>
    <s v="Check out our latest video on youtube!"/>
    <n v="3809"/>
    <n v="273"/>
    <n v="200"/>
    <n v="34281"/>
    <n v="4365"/>
    <n v="33534"/>
    <n v="83"/>
    <s v="EVRevolution"/>
    <m/>
    <m/>
    <x v="0"/>
    <n v="150000"/>
    <n v="0"/>
    <n v="0"/>
    <n v="2.9100000000000001E-2"/>
    <n v="0.12490884163239112"/>
  </r>
  <r>
    <s v="P170"/>
    <s v="Twitter"/>
    <d v="2025-04-28T00:00:00"/>
    <s v="Text"/>
    <s v="Check out our latest text on twitter!"/>
    <n v="3577"/>
    <n v="596"/>
    <n v="493"/>
    <n v="67963"/>
    <n v="4719"/>
    <n v="67839"/>
    <n v="53"/>
    <s v="TeslaCoInnovation"/>
    <m/>
    <m/>
    <x v="2"/>
    <n v="0"/>
    <n v="0"/>
    <n v="0"/>
    <s v=""/>
    <n v="6.8655003457763777E-2"/>
  </r>
  <r>
    <s v="P171"/>
    <s v="YouTube"/>
    <d v="2024-12-31T00:00:00"/>
    <s v="Video"/>
    <s v="Check out our latest video on youtube!"/>
    <n v="1018"/>
    <n v="447"/>
    <n v="332"/>
    <n v="18324"/>
    <n v="1835"/>
    <n v="18164"/>
    <n v="38"/>
    <s v="FutureOfDriving"/>
    <m/>
    <m/>
    <x v="1"/>
    <n v="0"/>
    <n v="0"/>
    <n v="0"/>
    <s v=""/>
    <n v="9.8068107400130972E-2"/>
  </r>
  <r>
    <s v="P172"/>
    <s v="Facebook"/>
    <d v="2024-08-14T00:00:00"/>
    <s v="Carousel"/>
    <s v="Check out our latest carousel on facebook!"/>
    <n v="3073"/>
    <n v="553"/>
    <n v="174"/>
    <n v="52241"/>
    <n v="4046"/>
    <n v="51605"/>
    <n v="246"/>
    <s v="EVRevolution"/>
    <m/>
    <m/>
    <x v="2"/>
    <n v="150000"/>
    <n v="0"/>
    <n v="0"/>
    <n v="2.6973333333333332E-2"/>
    <n v="7.2739802071170159E-2"/>
  </r>
  <r>
    <s v="P173"/>
    <s v="Twitter"/>
    <d v="2024-12-05T00:00:00"/>
    <s v="Video"/>
    <s v="Check out our latest video on twitter!"/>
    <n v="1330"/>
    <n v="925"/>
    <n v="35"/>
    <n v="15960"/>
    <n v="2519"/>
    <n v="15379"/>
    <n v="229"/>
    <s v="FutureOfDriving"/>
    <m/>
    <m/>
    <x v="2"/>
    <n v="0"/>
    <n v="0"/>
    <n v="0"/>
    <s v=""/>
    <n v="0.14348370927318296"/>
  </r>
  <r>
    <s v="P174"/>
    <s v="Facebook"/>
    <d v="2024-06-22T00:00:00"/>
    <s v="Text"/>
    <s v="Check out our latest text on facebook!"/>
    <n v="3828"/>
    <n v="148"/>
    <n v="253"/>
    <n v="30624"/>
    <n v="4464"/>
    <n v="30229"/>
    <n v="235"/>
    <s v="EVRevolution"/>
    <m/>
    <m/>
    <x v="4"/>
    <n v="150000"/>
    <n v="0"/>
    <n v="0"/>
    <n v="2.9760000000000002E-2"/>
    <n v="0.13809430512016718"/>
  </r>
  <r>
    <s v="P175"/>
    <s v="Instagram"/>
    <d v="2025-01-17T00:00:00"/>
    <s v="Reel"/>
    <s v="Check out our latest reel on instagram!"/>
    <n v="142"/>
    <n v="784"/>
    <n v="183"/>
    <n v="1704"/>
    <n v="1263"/>
    <n v="995"/>
    <n v="154"/>
    <s v="FutureOfDriving"/>
    <m/>
    <m/>
    <x v="3"/>
    <n v="0"/>
    <n v="0"/>
    <n v="0"/>
    <s v=""/>
    <n v="0.6508215962441315"/>
  </r>
  <r>
    <s v="P176"/>
    <s v="Facebook"/>
    <d v="2024-06-20T00:00:00"/>
    <s v="Video"/>
    <s v="Check out our latest video on facebook!"/>
    <n v="3798"/>
    <n v="31"/>
    <n v="279"/>
    <n v="75960"/>
    <n v="4374"/>
    <n v="75813"/>
    <n v="266"/>
    <s v="TeslaCoInnovation"/>
    <m/>
    <m/>
    <x v="0"/>
    <n v="0"/>
    <n v="0"/>
    <n v="0"/>
    <s v=""/>
    <n v="5.4081095313322801E-2"/>
  </r>
  <r>
    <s v="P177"/>
    <s v="Instagram"/>
    <d v="2024-07-10T00:00:00"/>
    <s v="Carousel"/>
    <s v="Check out our latest carousel on instagram!"/>
    <n v="3099"/>
    <n v="694"/>
    <n v="171"/>
    <n v="43386"/>
    <n v="4016"/>
    <n v="42921"/>
    <n v="52"/>
    <s v="TeslaCoInnovation"/>
    <m/>
    <m/>
    <x v="2"/>
    <n v="0"/>
    <n v="0"/>
    <n v="0"/>
    <s v=""/>
    <n v="9.1365878393951966E-2"/>
  </r>
  <r>
    <s v="P178"/>
    <s v="Instagram"/>
    <d v="2024-11-07T00:00:00"/>
    <s v="Video"/>
    <s v="Check out our latest video on instagram!"/>
    <n v="129"/>
    <n v="643"/>
    <n v="136"/>
    <n v="1290"/>
    <n v="1146"/>
    <n v="839"/>
    <n v="238"/>
    <s v="TeslaCoInnovation"/>
    <m/>
    <m/>
    <x v="3"/>
    <n v="0"/>
    <n v="0"/>
    <n v="0"/>
    <s v=""/>
    <n v="0.70387596899224802"/>
  </r>
  <r>
    <s v="P179"/>
    <s v="Facebook"/>
    <d v="2024-07-15T00:00:00"/>
    <s v="Carousel"/>
    <s v="Check out our latest carousel on facebook!"/>
    <n v="3796"/>
    <n v="667"/>
    <n v="395"/>
    <n v="64532"/>
    <n v="5150"/>
    <n v="63550"/>
    <n v="292"/>
    <s v="TeslaCoInnovation"/>
    <m/>
    <m/>
    <x v="4"/>
    <n v="0"/>
    <n v="0"/>
    <n v="0"/>
    <s v=""/>
    <n v="7.5280481001673588E-2"/>
  </r>
  <r>
    <s v="P180"/>
    <s v="YouTube"/>
    <d v="2024-12-03T00:00:00"/>
    <s v="Text"/>
    <s v="Check out our latest text on youtube!"/>
    <n v="3711"/>
    <n v="352"/>
    <n v="290"/>
    <n v="48243"/>
    <n v="4364"/>
    <n v="47579"/>
    <n v="11"/>
    <s v="TeslaCoInnovation"/>
    <m/>
    <m/>
    <x v="0"/>
    <n v="0"/>
    <n v="0"/>
    <n v="0"/>
    <s v=""/>
    <n v="9.023070704558174E-2"/>
  </r>
  <r>
    <s v="P181"/>
    <s v="YouTube"/>
    <d v="2025-03-21T00:00:00"/>
    <s v="Image"/>
    <s v="Check out our latest image on youtube!"/>
    <n v="606"/>
    <n v="789"/>
    <n v="470"/>
    <n v="7878"/>
    <n v="2104"/>
    <n v="7389"/>
    <n v="239"/>
    <s v="EVRevolution"/>
    <m/>
    <m/>
    <x v="2"/>
    <n v="150000"/>
    <n v="0"/>
    <n v="0"/>
    <n v="1.4026666666666666E-2"/>
    <n v="0.23673521198273673"/>
  </r>
  <r>
    <s v="P182"/>
    <s v="Facebook"/>
    <d v="2024-07-31T00:00:00"/>
    <s v="Image"/>
    <s v="Check out our latest image on facebook!"/>
    <n v="4689"/>
    <n v="134"/>
    <n v="403"/>
    <n v="51579"/>
    <n v="5399"/>
    <n v="50924"/>
    <n v="173"/>
    <s v="TeslaCoInnovation"/>
    <m/>
    <m/>
    <x v="3"/>
    <n v="0"/>
    <n v="0"/>
    <n v="0"/>
    <s v=""/>
    <n v="0.10132030477519921"/>
  </r>
  <r>
    <s v="P183"/>
    <s v="Instagram"/>
    <d v="2024-12-17T00:00:00"/>
    <s v="Story"/>
    <s v="Check out our latest story on instagram!"/>
    <n v="360"/>
    <n v="590"/>
    <n v="393"/>
    <n v="4680"/>
    <n v="1551"/>
    <n v="4322"/>
    <n v="208"/>
    <s v="FutureOfDriving"/>
    <m/>
    <m/>
    <x v="1"/>
    <n v="0"/>
    <n v="0"/>
    <n v="0"/>
    <s v=""/>
    <n v="0.28696581196581195"/>
  </r>
  <r>
    <s v="P184"/>
    <s v="Twitter"/>
    <d v="2024-07-28T00:00:00"/>
    <s v="Image"/>
    <s v="Check out our latest image on twitter!"/>
    <n v="3215"/>
    <n v="960"/>
    <n v="202"/>
    <n v="32150"/>
    <n v="4628"/>
    <n v="31404"/>
    <n v="251"/>
    <s v="EVRevolution"/>
    <m/>
    <m/>
    <x v="0"/>
    <n v="150000"/>
    <n v="0"/>
    <n v="0"/>
    <n v="3.0853333333333333E-2"/>
    <n v="0.13614307931570763"/>
  </r>
  <r>
    <s v="P185"/>
    <s v="Instagram"/>
    <d v="2025-01-11T00:00:00"/>
    <s v="Carousel"/>
    <s v="Check out our latest carousel on instagram!"/>
    <n v="4523"/>
    <n v="61"/>
    <n v="157"/>
    <n v="49753"/>
    <n v="4812"/>
    <n v="49329"/>
    <n v="71"/>
    <s v="EVRevolution"/>
    <m/>
    <m/>
    <x v="4"/>
    <n v="150000"/>
    <n v="0"/>
    <n v="0"/>
    <n v="3.2079999999999997E-2"/>
    <n v="9.5290736237010829E-2"/>
  </r>
  <r>
    <s v="P186"/>
    <s v="Facebook"/>
    <d v="2024-08-24T00:00:00"/>
    <s v="Carousel"/>
    <s v="Check out our latest carousel on facebook!"/>
    <n v="4292"/>
    <n v="51"/>
    <n v="392"/>
    <n v="55796"/>
    <n v="4999"/>
    <n v="54826"/>
    <n v="264"/>
    <s v="EVRevolution"/>
    <m/>
    <m/>
    <x v="2"/>
    <n v="150000"/>
    <n v="0"/>
    <n v="0"/>
    <n v="3.3326666666666664E-2"/>
    <n v="8.4862714173059003E-2"/>
  </r>
  <r>
    <s v="P187"/>
    <s v="Twitter"/>
    <d v="2024-12-22T00:00:00"/>
    <s v="Reel"/>
    <s v="Check out our latest reel on twitter!"/>
    <n v="1644"/>
    <n v="546"/>
    <n v="150"/>
    <n v="27948"/>
    <n v="2640"/>
    <n v="27184"/>
    <n v="300"/>
    <s v="EVRevolution"/>
    <m/>
    <m/>
    <x v="2"/>
    <n v="150000"/>
    <n v="0"/>
    <n v="0"/>
    <n v="1.7600000000000001E-2"/>
    <n v="8.3726921425504502E-2"/>
  </r>
  <r>
    <s v="P188"/>
    <s v="YouTube"/>
    <d v="2024-06-06T00:00:00"/>
    <s v="Reel"/>
    <s v="Check out our latest reel on youtube!"/>
    <n v="2728"/>
    <n v="533"/>
    <n v="215"/>
    <n v="40920"/>
    <n v="3613"/>
    <n v="40816"/>
    <n v="137"/>
    <s v="FutureOfDriving"/>
    <m/>
    <m/>
    <x v="1"/>
    <n v="0"/>
    <n v="0"/>
    <n v="0"/>
    <s v=""/>
    <n v="8.4946236559139784E-2"/>
  </r>
  <r>
    <s v="P189"/>
    <s v="Facebook"/>
    <d v="2025-03-24T00:00:00"/>
    <s v="Reel"/>
    <s v="Check out our latest reel on facebook!"/>
    <n v="3360"/>
    <n v="525"/>
    <n v="500"/>
    <n v="60480"/>
    <n v="4577"/>
    <n v="59610"/>
    <n v="192"/>
    <s v="TeslaCoInnovation"/>
    <m/>
    <m/>
    <x v="0"/>
    <n v="0"/>
    <n v="0"/>
    <n v="0"/>
    <s v=""/>
    <n v="7.2503306878306875E-2"/>
  </r>
  <r>
    <s v="P190"/>
    <s v="YouTube"/>
    <d v="2024-10-04T00:00:00"/>
    <s v="Text"/>
    <s v="Check out our latest text on youtube!"/>
    <n v="1963"/>
    <n v="213"/>
    <n v="19"/>
    <n v="39260"/>
    <n v="2340"/>
    <n v="38771"/>
    <n v="145"/>
    <s v="FutureOfDriving"/>
    <m/>
    <m/>
    <x v="4"/>
    <n v="0"/>
    <n v="0"/>
    <n v="0"/>
    <s v=""/>
    <n v="5.5909322465613857E-2"/>
  </r>
  <r>
    <s v="P191"/>
    <s v="YouTube"/>
    <d v="2024-12-03T00:00:00"/>
    <s v="Story"/>
    <s v="Check out our latest story on youtube!"/>
    <n v="4285"/>
    <n v="886"/>
    <n v="376"/>
    <n v="55705"/>
    <n v="5598"/>
    <n v="55556"/>
    <n v="51"/>
    <s v="FutureOfDriving"/>
    <m/>
    <m/>
    <x v="2"/>
    <n v="0"/>
    <n v="0"/>
    <n v="0"/>
    <s v=""/>
    <n v="9.9578134817341346E-2"/>
  </r>
  <r>
    <s v="P192"/>
    <s v="Instagram"/>
    <d v="2024-11-29T00:00:00"/>
    <s v="Video"/>
    <s v="Check out our latest video on instagram!"/>
    <n v="1176"/>
    <n v="464"/>
    <n v="394"/>
    <n v="14112"/>
    <n v="2306"/>
    <n v="13588"/>
    <n v="272"/>
    <s v="EVRevolution"/>
    <m/>
    <m/>
    <x v="4"/>
    <n v="150000"/>
    <n v="0"/>
    <n v="0"/>
    <n v="1.5373333333333333E-2"/>
    <n v="0.1441326530612245"/>
  </r>
  <r>
    <s v="P193"/>
    <s v="Twitter"/>
    <d v="2024-09-11T00:00:00"/>
    <s v="Image"/>
    <s v="Check out our latest image on twitter!"/>
    <n v="4858"/>
    <n v="317"/>
    <n v="129"/>
    <n v="53438"/>
    <n v="5527"/>
    <n v="52687"/>
    <n v="223"/>
    <s v="EVRevolution"/>
    <m/>
    <m/>
    <x v="2"/>
    <n v="150000"/>
    <n v="0"/>
    <n v="0"/>
    <n v="3.6846666666666666E-2"/>
    <n v="9.9255211647142488E-2"/>
  </r>
  <r>
    <s v="P194"/>
    <s v="YouTube"/>
    <d v="2024-10-02T00:00:00"/>
    <s v="Story"/>
    <s v="Check out our latest story on youtube!"/>
    <n v="4350"/>
    <n v="771"/>
    <n v="7"/>
    <n v="60900"/>
    <n v="5323"/>
    <n v="60592"/>
    <n v="195"/>
    <s v="EVRevolution"/>
    <m/>
    <m/>
    <x v="0"/>
    <n v="150000"/>
    <n v="0"/>
    <n v="0"/>
    <n v="3.5486666666666666E-2"/>
    <n v="8.4203612479474554E-2"/>
  </r>
  <r>
    <s v="P195"/>
    <s v="Instagram"/>
    <d v="2024-08-15T00:00:00"/>
    <s v="Carousel"/>
    <s v="Check out our latest carousel on instagram!"/>
    <n v="914"/>
    <n v="464"/>
    <n v="246"/>
    <n v="11882"/>
    <n v="1906"/>
    <n v="11500"/>
    <n v="282"/>
    <s v="FutureOfDriving"/>
    <s v="TeslaCoInnovation"/>
    <s v="AnytimeIsTeslaTime"/>
    <x v="3"/>
    <n v="0"/>
    <n v="0"/>
    <n v="200000"/>
    <n v="9.5300000000000003E-3"/>
    <n v="0.13667732704931829"/>
  </r>
  <r>
    <s v="P196"/>
    <s v="Instagram"/>
    <d v="2024-12-19T00:00:00"/>
    <s v="Text"/>
    <s v="Check out our latest text on instagram!"/>
    <n v="1813"/>
    <n v="623"/>
    <n v="72"/>
    <n v="19943"/>
    <n v="2593"/>
    <n v="18959"/>
    <n v="85"/>
    <s v="EVRevolution"/>
    <m/>
    <m/>
    <x v="2"/>
    <n v="150000"/>
    <n v="0"/>
    <n v="0"/>
    <n v="1.7286666666666665E-2"/>
    <n v="0.12575841147269717"/>
  </r>
  <r>
    <s v="P197"/>
    <s v="Twitter"/>
    <d v="2024-10-22T00:00:00"/>
    <s v="Reel"/>
    <s v="Check out our latest reel on twitter!"/>
    <n v="4782"/>
    <n v="721"/>
    <n v="82"/>
    <n v="86076"/>
    <n v="5604"/>
    <n v="85339"/>
    <n v="19"/>
    <s v="EVRevolution"/>
    <m/>
    <m/>
    <x v="0"/>
    <n v="150000"/>
    <n v="0"/>
    <n v="0"/>
    <n v="3.7359999999999997E-2"/>
    <n v="6.4884520656164318E-2"/>
  </r>
  <r>
    <s v="P198"/>
    <s v="Twitter"/>
    <d v="2024-09-14T00:00:00"/>
    <s v="Image"/>
    <s v="Check out our latest image on twitter!"/>
    <n v="1048"/>
    <n v="374"/>
    <n v="450"/>
    <n v="9432"/>
    <n v="2030"/>
    <n v="8882"/>
    <n v="158"/>
    <s v="TeslaCoInnovation"/>
    <m/>
    <m/>
    <x v="2"/>
    <n v="0"/>
    <n v="0"/>
    <n v="0"/>
    <s v=""/>
    <n v="0.19847328244274809"/>
  </r>
  <r>
    <s v="P199"/>
    <s v="YouTube"/>
    <d v="2024-11-30T00:00:00"/>
    <s v="Carousel"/>
    <s v="Check out our latest carousel on youtube!"/>
    <n v="2509"/>
    <n v="324"/>
    <n v="171"/>
    <n v="35126"/>
    <n v="3281"/>
    <n v="34685"/>
    <n v="277"/>
    <s v="TeslaCoInnovation"/>
    <m/>
    <m/>
    <x v="1"/>
    <n v="0"/>
    <n v="0"/>
    <n v="0"/>
    <s v=""/>
    <n v="8.5520696919660646E-2"/>
  </r>
  <r>
    <s v="P200"/>
    <s v="Facebook"/>
    <d v="2025-04-07T00:00:00"/>
    <s v="Reel"/>
    <s v="Check out our latest reel on facebook!"/>
    <n v="3718"/>
    <n v="385"/>
    <n v="310"/>
    <n v="70642"/>
    <n v="4646"/>
    <n v="69749"/>
    <n v="233"/>
    <s v="TeslaCoInnovation"/>
    <m/>
    <m/>
    <x v="1"/>
    <n v="0"/>
    <n v="0"/>
    <n v="0"/>
    <s v=""/>
    <n v="6.246991874522239E-2"/>
  </r>
  <r>
    <s v="P201"/>
    <s v="Twitter"/>
    <d v="2025-01-15T00:00:00"/>
    <s v="Reel"/>
    <s v="Check out our latest reel on twitter!"/>
    <n v="802"/>
    <n v="262"/>
    <n v="244"/>
    <n v="14436"/>
    <n v="1357"/>
    <n v="14280"/>
    <n v="49"/>
    <s v="EVRevolution"/>
    <m/>
    <m/>
    <x v="0"/>
    <n v="150000"/>
    <n v="0"/>
    <n v="0"/>
    <n v="9.0466666666666664E-3"/>
    <n v="9.0606816292601824E-2"/>
  </r>
  <r>
    <s v="P202"/>
    <s v="Facebook"/>
    <d v="2024-06-02T00:00:00"/>
    <s v="Image"/>
    <s v="Check out our latest image on facebook!"/>
    <n v="1871"/>
    <n v="252"/>
    <n v="335"/>
    <n v="29936"/>
    <n v="2746"/>
    <n v="29576"/>
    <n v="288"/>
    <s v="EVRevolution"/>
    <m/>
    <m/>
    <x v="2"/>
    <n v="150000"/>
    <n v="0"/>
    <n v="0"/>
    <n v="1.8306666666666666E-2"/>
    <n v="8.2108498129342594E-2"/>
  </r>
  <r>
    <s v="P203"/>
    <s v="Instagram"/>
    <d v="2024-11-21T00:00:00"/>
    <s v="Carousel"/>
    <s v="Check out our latest carousel on instagram!"/>
    <n v="3773"/>
    <n v="299"/>
    <n v="38"/>
    <n v="71687"/>
    <n v="4396"/>
    <n v="71447"/>
    <n v="286"/>
    <s v="FutureOfDriving"/>
    <m/>
    <m/>
    <x v="0"/>
    <n v="0"/>
    <n v="0"/>
    <n v="0"/>
    <s v=""/>
    <n v="5.7332570758993957E-2"/>
  </r>
  <r>
    <s v="P204"/>
    <s v="Instagram"/>
    <d v="2025-01-01T00:00:00"/>
    <s v="Carousel"/>
    <s v="Check out our latest carousel on instagram!"/>
    <n v="2234"/>
    <n v="653"/>
    <n v="432"/>
    <n v="11170"/>
    <n v="3517"/>
    <n v="10569"/>
    <n v="198"/>
    <s v="FutureOfDriving"/>
    <m/>
    <m/>
    <x v="2"/>
    <n v="0"/>
    <n v="0"/>
    <n v="0"/>
    <s v=""/>
    <n v="0.29713518352730528"/>
  </r>
  <r>
    <s v="P205"/>
    <s v="Twitter"/>
    <d v="2025-04-24T00:00:00"/>
    <s v="Video"/>
    <s v="Check out our latest video on twitter!"/>
    <n v="3820"/>
    <n v="697"/>
    <n v="268"/>
    <n v="45840"/>
    <n v="4956"/>
    <n v="45631"/>
    <n v="171"/>
    <s v="TeslaCoInnovation"/>
    <s v="SmoothLikeNitroTesla"/>
    <m/>
    <x v="3"/>
    <n v="0"/>
    <n v="250000"/>
    <n v="0"/>
    <n v="1.9824000000000001E-2"/>
    <n v="0.1043848167539267"/>
  </r>
  <r>
    <s v="P206"/>
    <s v="Twitter"/>
    <d v="2024-06-24T00:00:00"/>
    <s v="Text"/>
    <s v="Check out our latest text on twitter!"/>
    <n v="941"/>
    <n v="121"/>
    <n v="458"/>
    <n v="14115"/>
    <n v="1607"/>
    <n v="13838"/>
    <n v="87"/>
    <s v="EVRevolution"/>
    <m/>
    <m/>
    <x v="0"/>
    <n v="150000"/>
    <n v="0"/>
    <n v="0"/>
    <n v="1.0713333333333333E-2"/>
    <n v="0.10768685795253277"/>
  </r>
  <r>
    <s v="P207"/>
    <s v="Twitter"/>
    <d v="2024-12-29T00:00:00"/>
    <s v="Carousel"/>
    <s v="Check out our latest carousel on twitter!"/>
    <n v="4274"/>
    <n v="340"/>
    <n v="281"/>
    <n v="34192"/>
    <n v="5024"/>
    <n v="33446"/>
    <n v="129"/>
    <s v="TeslaCoInnovation"/>
    <s v="SmoothLikeNitroTesla"/>
    <m/>
    <x v="2"/>
    <n v="0"/>
    <n v="250000"/>
    <n v="0"/>
    <n v="2.0095999999999999E-2"/>
    <n v="0.14316214319138981"/>
  </r>
  <r>
    <s v="P208"/>
    <s v="YouTube"/>
    <d v="2024-06-24T00:00:00"/>
    <s v="Video"/>
    <s v="Check out our latest video on youtube!"/>
    <n v="2949"/>
    <n v="476"/>
    <n v="403"/>
    <n v="44235"/>
    <n v="3963"/>
    <n v="43705"/>
    <n v="135"/>
    <s v="TeslaCoInnovation"/>
    <m/>
    <m/>
    <x v="1"/>
    <n v="0"/>
    <n v="0"/>
    <n v="0"/>
    <s v=""/>
    <n v="8.6537809426924378E-2"/>
  </r>
  <r>
    <s v="P209"/>
    <s v="Twitter"/>
    <d v="2025-03-19T00:00:00"/>
    <s v="Video"/>
    <s v="Check out our latest video on twitter!"/>
    <n v="3160"/>
    <n v="204"/>
    <n v="297"/>
    <n v="44240"/>
    <n v="3710"/>
    <n v="43666"/>
    <n v="49"/>
    <s v="FutureOfDriving"/>
    <s v="AnytimeIsTeslaTime"/>
    <m/>
    <x v="3"/>
    <n v="0"/>
    <n v="200000"/>
    <n v="0"/>
    <n v="1.8550000000000001E-2"/>
    <n v="8.2753164556962022E-2"/>
  </r>
  <r>
    <s v="P210"/>
    <s v="YouTube"/>
    <d v="2025-02-19T00:00:00"/>
    <s v="Image"/>
    <s v="Check out our latest image on youtube!"/>
    <n v="257"/>
    <n v="966"/>
    <n v="398"/>
    <n v="3341"/>
    <n v="1908"/>
    <n v="2753"/>
    <n v="287"/>
    <s v="FutureOfDriving"/>
    <m/>
    <m/>
    <x v="0"/>
    <n v="0"/>
    <n v="0"/>
    <n v="0"/>
    <s v=""/>
    <n v="0.48518407662376534"/>
  </r>
  <r>
    <s v="P211"/>
    <s v="Twitter"/>
    <d v="2024-07-18T00:00:00"/>
    <s v="Carousel"/>
    <s v="Check out our latest carousel on twitter!"/>
    <n v="2120"/>
    <n v="38"/>
    <n v="212"/>
    <n v="12720"/>
    <n v="2391"/>
    <n v="12564"/>
    <n v="21"/>
    <s v="FutureOfDriving"/>
    <m/>
    <m/>
    <x v="3"/>
    <n v="0"/>
    <n v="0"/>
    <n v="0"/>
    <s v=""/>
    <n v="0.18632075471698112"/>
  </r>
  <r>
    <s v="P212"/>
    <s v="YouTube"/>
    <d v="2025-03-03T00:00:00"/>
    <s v="Video"/>
    <s v="Check out our latest video on youtube!"/>
    <n v="3874"/>
    <n v="884"/>
    <n v="19"/>
    <n v="38740"/>
    <n v="4996"/>
    <n v="38552"/>
    <n v="219"/>
    <s v="TeslaCoInnovation"/>
    <m/>
    <m/>
    <x v="1"/>
    <n v="0"/>
    <n v="0"/>
    <n v="0"/>
    <s v=""/>
    <n v="0.123309241094476"/>
  </r>
  <r>
    <s v="P213"/>
    <s v="Facebook"/>
    <d v="2025-05-01T00:00:00"/>
    <s v="Carousel"/>
    <s v="Check out our latest carousel on facebook!"/>
    <n v="2696"/>
    <n v="628"/>
    <n v="443"/>
    <n v="45832"/>
    <n v="4015"/>
    <n v="45632"/>
    <n v="248"/>
    <s v="EVRevolution"/>
    <m/>
    <m/>
    <x v="3"/>
    <n v="150000"/>
    <n v="0"/>
    <n v="0"/>
    <n v="2.6766666666666668E-2"/>
    <n v="8.21914819340199E-2"/>
  </r>
  <r>
    <s v="P214"/>
    <s v="Instagram"/>
    <d v="2024-12-23T00:00:00"/>
    <s v="Image"/>
    <s v="Check out our latest image on instagram!"/>
    <n v="521"/>
    <n v="746"/>
    <n v="315"/>
    <n v="4168"/>
    <n v="1864"/>
    <n v="3399"/>
    <n v="282"/>
    <s v="FutureOfDriving"/>
    <m/>
    <m/>
    <x v="1"/>
    <n v="0"/>
    <n v="0"/>
    <n v="0"/>
    <s v=""/>
    <n v="0.37955854126679461"/>
  </r>
  <r>
    <s v="P215"/>
    <s v="Facebook"/>
    <d v="2025-05-06T00:00:00"/>
    <s v="Image"/>
    <s v="Check out our latest image on facebook!"/>
    <n v="4872"/>
    <n v="925"/>
    <n v="176"/>
    <n v="82824"/>
    <n v="6062"/>
    <n v="82543"/>
    <n v="89"/>
    <s v="EVRevolution"/>
    <m/>
    <m/>
    <x v="1"/>
    <n v="150000"/>
    <n v="0"/>
    <n v="0"/>
    <n v="4.0413333333333336E-2"/>
    <n v="7.2116777745580993E-2"/>
  </r>
  <r>
    <s v="P216"/>
    <s v="YouTube"/>
    <d v="2024-07-29T00:00:00"/>
    <s v="Story"/>
    <s v="Check out our latest story on youtube!"/>
    <n v="1509"/>
    <n v="88"/>
    <n v="163"/>
    <n v="30180"/>
    <n v="1879"/>
    <n v="29689"/>
    <n v="119"/>
    <s v="EVRevolution"/>
    <m/>
    <m/>
    <x v="1"/>
    <n v="150000"/>
    <n v="0"/>
    <n v="0"/>
    <n v="1.2526666666666667E-2"/>
    <n v="5.8316766070245198E-2"/>
  </r>
  <r>
    <s v="P217"/>
    <s v="Facebook"/>
    <d v="2024-12-03T00:00:00"/>
    <s v="Image"/>
    <s v="Check out our latest image on facebook!"/>
    <n v="4606"/>
    <n v="931"/>
    <n v="230"/>
    <n v="92120"/>
    <n v="5823"/>
    <n v="91440"/>
    <n v="56"/>
    <s v="TeslaCoInnovation"/>
    <m/>
    <m/>
    <x v="4"/>
    <n v="0"/>
    <n v="0"/>
    <n v="0"/>
    <s v=""/>
    <n v="6.2603126356925748E-2"/>
  </r>
  <r>
    <s v="P218"/>
    <s v="Facebook"/>
    <d v="2024-06-11T00:00:00"/>
    <s v="Carousel"/>
    <s v="Check out our latest carousel on facebook!"/>
    <n v="1869"/>
    <n v="453"/>
    <n v="490"/>
    <n v="14952"/>
    <n v="3087"/>
    <n v="14309"/>
    <n v="275"/>
    <s v="TeslaCoInnovation"/>
    <m/>
    <m/>
    <x v="3"/>
    <n v="0"/>
    <n v="0"/>
    <n v="0"/>
    <s v=""/>
    <n v="0.18806848582129482"/>
  </r>
  <r>
    <s v="P219"/>
    <s v="Twitter"/>
    <d v="2025-01-28T00:00:00"/>
    <s v="Reel"/>
    <s v="Check out our latest reel on twitter!"/>
    <n v="1188"/>
    <n v="470"/>
    <n v="174"/>
    <n v="7128"/>
    <n v="2102"/>
    <n v="6145"/>
    <n v="270"/>
    <s v="TeslaCoInnovation"/>
    <m/>
    <m/>
    <x v="3"/>
    <n v="0"/>
    <n v="0"/>
    <n v="0"/>
    <s v=""/>
    <n v="0.25701459034792368"/>
  </r>
  <r>
    <s v="P220"/>
    <s v="Instagram"/>
    <d v="2024-06-02T00:00:00"/>
    <s v="Story"/>
    <s v="Check out our latest story on instagram!"/>
    <n v="84"/>
    <n v="897"/>
    <n v="85"/>
    <n v="588"/>
    <n v="1078"/>
    <n v="8"/>
    <n v="12"/>
    <s v="EVRevolution"/>
    <m/>
    <m/>
    <x v="4"/>
    <n v="150000"/>
    <n v="0"/>
    <n v="0"/>
    <n v="7.1866666666666667E-3"/>
    <n v="1.8129251700680271"/>
  </r>
  <r>
    <s v="P221"/>
    <s v="Facebook"/>
    <d v="2025-03-23T00:00:00"/>
    <s v="Video"/>
    <s v="Check out our latest video on facebook!"/>
    <n v="4453"/>
    <n v="111"/>
    <n v="420"/>
    <n v="31171"/>
    <n v="5007"/>
    <n v="30565"/>
    <n v="23"/>
    <s v="TeslaCoInnovation"/>
    <m/>
    <m/>
    <x v="4"/>
    <n v="0"/>
    <n v="0"/>
    <n v="0"/>
    <s v=""/>
    <n v="0.15989220750056141"/>
  </r>
  <r>
    <s v="P222"/>
    <s v="Facebook"/>
    <d v="2024-10-08T00:00:00"/>
    <s v="Reel"/>
    <s v="Check out our latest reel on facebook!"/>
    <n v="1814"/>
    <n v="653"/>
    <n v="363"/>
    <n v="25396"/>
    <n v="2869"/>
    <n v="25286"/>
    <n v="39"/>
    <s v="FutureOfDriving"/>
    <s v="SmoothLikeNitroTesla"/>
    <m/>
    <x v="0"/>
    <n v="0"/>
    <n v="250000"/>
    <n v="0"/>
    <n v="1.1476E-2"/>
    <n v="0.11143487163332809"/>
  </r>
  <r>
    <s v="P223"/>
    <s v="Twitter"/>
    <d v="2024-11-12T00:00:00"/>
    <s v="Image"/>
    <s v="Check out our latest image on twitter!"/>
    <n v="3338"/>
    <n v="277"/>
    <n v="118"/>
    <n v="60084"/>
    <n v="3985"/>
    <n v="59842"/>
    <n v="252"/>
    <s v="TeslaCoInnovation"/>
    <m/>
    <m/>
    <x v="4"/>
    <n v="0"/>
    <n v="0"/>
    <n v="0"/>
    <s v=""/>
    <n v="6.2129685107516146E-2"/>
  </r>
  <r>
    <s v="P224"/>
    <s v="Facebook"/>
    <d v="2025-05-13T00:00:00"/>
    <s v="Image"/>
    <s v="Check out our latest image on facebook!"/>
    <n v="602"/>
    <n v="594"/>
    <n v="156"/>
    <n v="4214"/>
    <n v="1516"/>
    <n v="3363"/>
    <n v="164"/>
    <s v="TeslaCoInnovation"/>
    <m/>
    <m/>
    <x v="2"/>
    <n v="0"/>
    <n v="0"/>
    <n v="0"/>
    <s v=""/>
    <n v="0.32083531086853345"/>
  </r>
  <r>
    <s v="P225"/>
    <s v="Twitter"/>
    <d v="2024-06-20T00:00:00"/>
    <s v="Carousel"/>
    <s v="Check out our latest carousel on twitter!"/>
    <n v="4672"/>
    <n v="325"/>
    <n v="32"/>
    <n v="88768"/>
    <n v="5147"/>
    <n v="87833"/>
    <n v="118"/>
    <s v="EVRevolution"/>
    <m/>
    <m/>
    <x v="4"/>
    <n v="150000"/>
    <n v="0"/>
    <n v="0"/>
    <n v="3.4313333333333335E-2"/>
    <n v="5.6653298485940883E-2"/>
  </r>
  <r>
    <s v="P226"/>
    <s v="Instagram"/>
    <d v="2024-08-07T00:00:00"/>
    <s v="Carousel"/>
    <s v="Check out our latest carousel on instagram!"/>
    <n v="1741"/>
    <n v="164"/>
    <n v="318"/>
    <n v="8705"/>
    <n v="2344"/>
    <n v="8272"/>
    <n v="121"/>
    <s v="TeslaCoInnovation"/>
    <m/>
    <m/>
    <x v="4"/>
    <n v="0"/>
    <n v="0"/>
    <n v="0"/>
    <s v=""/>
    <n v="0.25537047673750718"/>
  </r>
  <r>
    <s v="P227"/>
    <s v="Instagram"/>
    <d v="2024-06-12T00:00:00"/>
    <s v="Text"/>
    <s v="Check out our latest text on instagram!"/>
    <n v="246"/>
    <n v="149"/>
    <n v="130"/>
    <n v="4674"/>
    <n v="742"/>
    <n v="4390"/>
    <n v="217"/>
    <s v="FutureOfDriving"/>
    <m/>
    <m/>
    <x v="2"/>
    <n v="0"/>
    <n v="0"/>
    <n v="0"/>
    <s v=""/>
    <n v="0.11232349165596919"/>
  </r>
  <r>
    <s v="P228"/>
    <s v="Instagram"/>
    <d v="2024-07-01T00:00:00"/>
    <s v="Story"/>
    <s v="Check out our latest story on instagram!"/>
    <n v="4808"/>
    <n v="772"/>
    <n v="320"/>
    <n v="72120"/>
    <n v="6095"/>
    <n v="71696"/>
    <n v="195"/>
    <s v="EVRevolution"/>
    <m/>
    <m/>
    <x v="0"/>
    <n v="150000"/>
    <n v="0"/>
    <n v="0"/>
    <n v="4.0633333333333334E-2"/>
    <n v="8.1808097615085965E-2"/>
  </r>
  <r>
    <s v="P229"/>
    <s v="Instagram"/>
    <d v="2024-07-03T00:00:00"/>
    <s v="Carousel"/>
    <s v="Check out our latest carousel on instagram!"/>
    <n v="4799"/>
    <n v="694"/>
    <n v="289"/>
    <n v="43191"/>
    <n v="5900"/>
    <n v="42228"/>
    <n v="118"/>
    <s v="TeslaCoInnovation"/>
    <m/>
    <m/>
    <x v="4"/>
    <n v="0"/>
    <n v="0"/>
    <n v="0"/>
    <s v=""/>
    <n v="0.13387048227640017"/>
  </r>
  <r>
    <s v="P230"/>
    <s v="Facebook"/>
    <d v="2024-07-15T00:00:00"/>
    <s v="Reel"/>
    <s v="Check out our latest reel on facebook!"/>
    <n v="3663"/>
    <n v="17"/>
    <n v="295"/>
    <n v="51282"/>
    <n v="4059"/>
    <n v="50567"/>
    <n v="84"/>
    <s v="EVRevolution"/>
    <m/>
    <m/>
    <x v="2"/>
    <n v="150000"/>
    <n v="0"/>
    <n v="0"/>
    <n v="2.7060000000000001E-2"/>
    <n v="7.7512577512577507E-2"/>
  </r>
  <r>
    <s v="P231"/>
    <s v="Instagram"/>
    <d v="2025-05-01T00:00:00"/>
    <s v="Text"/>
    <s v="Check out our latest text on instagram!"/>
    <n v="1430"/>
    <n v="376"/>
    <n v="33"/>
    <n v="21450"/>
    <n v="2090"/>
    <n v="20509"/>
    <n v="251"/>
    <s v="FutureOfDriving"/>
    <m/>
    <m/>
    <x v="0"/>
    <n v="0"/>
    <n v="0"/>
    <n v="0"/>
    <s v=""/>
    <n v="8.5734265734265735E-2"/>
  </r>
  <r>
    <s v="P232"/>
    <s v="Twitter"/>
    <d v="2025-04-29T00:00:00"/>
    <s v="Story"/>
    <s v="Check out our latest story on twitter!"/>
    <n v="249"/>
    <n v="592"/>
    <n v="230"/>
    <n v="1494"/>
    <n v="1272"/>
    <n v="1044"/>
    <n v="201"/>
    <s v="EVRevolution"/>
    <m/>
    <m/>
    <x v="3"/>
    <n v="150000"/>
    <n v="0"/>
    <n v="0"/>
    <n v="8.4799999999999997E-3"/>
    <n v="0.7168674698795181"/>
  </r>
  <r>
    <s v="P233"/>
    <s v="Facebook"/>
    <d v="2025-03-08T00:00:00"/>
    <s v="Image"/>
    <s v="Check out our latest image on facebook!"/>
    <n v="2382"/>
    <n v="265"/>
    <n v="134"/>
    <n v="38112"/>
    <n v="3030"/>
    <n v="37437"/>
    <n v="249"/>
    <s v="FutureOfDriving"/>
    <m/>
    <m/>
    <x v="3"/>
    <n v="0"/>
    <n v="0"/>
    <n v="0"/>
    <s v=""/>
    <n v="7.2969143576826198E-2"/>
  </r>
  <r>
    <s v="P234"/>
    <s v="Facebook"/>
    <d v="2024-06-01T00:00:00"/>
    <s v="Text"/>
    <s v="Check out our latest text on facebook!"/>
    <n v="1272"/>
    <n v="465"/>
    <n v="99"/>
    <n v="24168"/>
    <n v="1878"/>
    <n v="23719"/>
    <n v="42"/>
    <s v="TeslaCoInnovation"/>
    <m/>
    <m/>
    <x v="4"/>
    <n v="0"/>
    <n v="0"/>
    <n v="0"/>
    <s v=""/>
    <n v="7.5968222442899705E-2"/>
  </r>
  <r>
    <s v="P235"/>
    <s v="Facebook"/>
    <d v="2024-12-22T00:00:00"/>
    <s v="Image"/>
    <s v="Check out our latest image on facebook!"/>
    <n v="3196"/>
    <n v="941"/>
    <n v="376"/>
    <n v="35156"/>
    <n v="4754"/>
    <n v="34444"/>
    <n v="241"/>
    <s v="TeslaCoInnovation"/>
    <m/>
    <m/>
    <x v="2"/>
    <n v="0"/>
    <n v="0"/>
    <n v="0"/>
    <s v=""/>
    <n v="0.1283706906360223"/>
  </r>
  <r>
    <s v="P236"/>
    <s v="Facebook"/>
    <d v="2024-08-19T00:00:00"/>
    <s v="Text"/>
    <s v="Check out our latest text on facebook!"/>
    <n v="1257"/>
    <n v="19"/>
    <n v="351"/>
    <n v="12570"/>
    <n v="1821"/>
    <n v="11660"/>
    <n v="194"/>
    <s v="FutureOfDriving"/>
    <s v="AnytimeIsTeslaTime"/>
    <s v="EVRevolution"/>
    <x v="1"/>
    <n v="0"/>
    <n v="200000"/>
    <n v="150000"/>
    <n v="5.2028571428571427E-3"/>
    <n v="0.12943516308671441"/>
  </r>
  <r>
    <s v="P237"/>
    <s v="Instagram"/>
    <d v="2024-10-22T00:00:00"/>
    <s v="Story"/>
    <s v="Check out our latest story on instagram!"/>
    <n v="3770"/>
    <n v="917"/>
    <n v="129"/>
    <n v="71630"/>
    <n v="4892"/>
    <n v="71322"/>
    <n v="76"/>
    <s v="FutureOfDriving"/>
    <m/>
    <m/>
    <x v="0"/>
    <n v="0"/>
    <n v="0"/>
    <n v="0"/>
    <s v=""/>
    <n v="6.7234398994834563E-2"/>
  </r>
  <r>
    <s v="P238"/>
    <s v="Twitter"/>
    <d v="2024-07-16T00:00:00"/>
    <s v="Text"/>
    <s v="Check out our latest text on twitter!"/>
    <n v="4725"/>
    <n v="400"/>
    <n v="362"/>
    <n v="75600"/>
    <n v="5530"/>
    <n v="74927"/>
    <n v="43"/>
    <s v="FutureOfDriving"/>
    <m/>
    <m/>
    <x v="3"/>
    <n v="0"/>
    <n v="0"/>
    <n v="0"/>
    <s v=""/>
    <n v="7.2579365079365077E-2"/>
  </r>
  <r>
    <s v="P239"/>
    <s v="YouTube"/>
    <d v="2025-02-24T00:00:00"/>
    <s v="Text"/>
    <s v="Check out our latest text on youtube!"/>
    <n v="4188"/>
    <n v="942"/>
    <n v="118"/>
    <n v="20940"/>
    <n v="5350"/>
    <n v="20471"/>
    <n v="102"/>
    <s v="FutureOfDriving"/>
    <m/>
    <m/>
    <x v="4"/>
    <n v="0"/>
    <n v="0"/>
    <n v="0"/>
    <s v=""/>
    <n v="0.25062082139446035"/>
  </r>
  <r>
    <s v="P240"/>
    <s v="Twitter"/>
    <d v="2024-08-26T00:00:00"/>
    <s v="Carousel"/>
    <s v="Check out our latest carousel on twitter!"/>
    <n v="929"/>
    <n v="192"/>
    <n v="322"/>
    <n v="16722"/>
    <n v="1588"/>
    <n v="15996"/>
    <n v="145"/>
    <s v="EVRevolution"/>
    <s v="TeslaCoInnovation"/>
    <s v="AnytimeIsTeslaTime"/>
    <x v="2"/>
    <n v="150000"/>
    <n v="0"/>
    <n v="200000"/>
    <n v="4.5371428571428568E-3"/>
    <n v="8.6293505561535699E-2"/>
  </r>
  <r>
    <s v="P241"/>
    <s v="Facebook"/>
    <d v="2025-01-18T00:00:00"/>
    <s v="Story"/>
    <s v="Check out our latest story on facebook!"/>
    <n v="4321"/>
    <n v="874"/>
    <n v="172"/>
    <n v="30247"/>
    <n v="5489"/>
    <n v="29254"/>
    <n v="122"/>
    <s v="TeslaCoInnovation"/>
    <m/>
    <m/>
    <x v="3"/>
    <n v="0"/>
    <n v="0"/>
    <n v="0"/>
    <s v=""/>
    <n v="0.17743908486792079"/>
  </r>
  <r>
    <s v="P242"/>
    <s v="Facebook"/>
    <d v="2024-07-07T00:00:00"/>
    <s v="Reel"/>
    <s v="Check out our latest reel on facebook!"/>
    <n v="4767"/>
    <n v="190"/>
    <n v="340"/>
    <n v="28602"/>
    <n v="5507"/>
    <n v="28044"/>
    <n v="210"/>
    <s v="EVRevolution"/>
    <m/>
    <m/>
    <x v="2"/>
    <n v="150000"/>
    <n v="0"/>
    <n v="0"/>
    <n v="3.6713333333333334E-2"/>
    <n v="0.18519683938186141"/>
  </r>
  <r>
    <s v="P243"/>
    <s v="Twitter"/>
    <d v="2025-03-06T00:00:00"/>
    <s v="Image"/>
    <s v="Check out our latest image on twitter!"/>
    <n v="3592"/>
    <n v="911"/>
    <n v="375"/>
    <n v="50288"/>
    <n v="4910"/>
    <n v="49490"/>
    <n v="32"/>
    <s v="FutureOfDriving"/>
    <m/>
    <m/>
    <x v="3"/>
    <n v="0"/>
    <n v="0"/>
    <n v="0"/>
    <s v=""/>
    <n v="9.7001272669424113E-2"/>
  </r>
  <r>
    <s v="P244"/>
    <s v="YouTube"/>
    <d v="2024-10-25T00:00:00"/>
    <s v="Video"/>
    <s v="Check out our latest video on youtube!"/>
    <n v="4661"/>
    <n v="935"/>
    <n v="433"/>
    <n v="23305"/>
    <n v="6092"/>
    <n v="22583"/>
    <n v="63"/>
    <s v="FutureOfDriving"/>
    <m/>
    <m/>
    <x v="2"/>
    <n v="0"/>
    <n v="0"/>
    <n v="0"/>
    <s v=""/>
    <n v="0.25869984981763572"/>
  </r>
  <r>
    <s v="P245"/>
    <s v="Facebook"/>
    <d v="2025-01-12T00:00:00"/>
    <s v="Reel"/>
    <s v="Check out our latest reel on facebook!"/>
    <n v="4134"/>
    <n v="824"/>
    <n v="99"/>
    <n v="41340"/>
    <n v="5234"/>
    <n v="41050"/>
    <n v="177"/>
    <s v="EVRevolution"/>
    <m/>
    <m/>
    <x v="0"/>
    <n v="150000"/>
    <n v="0"/>
    <n v="0"/>
    <n v="3.4893333333333332E-2"/>
    <n v="0.12232704402515723"/>
  </r>
  <r>
    <s v="P246"/>
    <s v="Facebook"/>
    <d v="2024-10-11T00:00:00"/>
    <s v="Image"/>
    <s v="Check out our latest image on facebook!"/>
    <n v="400"/>
    <n v="680"/>
    <n v="434"/>
    <n v="6400"/>
    <n v="1674"/>
    <n v="5472"/>
    <n v="160"/>
    <s v="FutureOfDriving"/>
    <m/>
    <m/>
    <x v="1"/>
    <n v="0"/>
    <n v="0"/>
    <n v="0"/>
    <s v=""/>
    <n v="0.23656250000000001"/>
  </r>
  <r>
    <s v="P247"/>
    <s v="Facebook"/>
    <d v="2024-08-27T00:00:00"/>
    <s v="Reel"/>
    <s v="Check out our latest reel on facebook!"/>
    <n v="3960"/>
    <n v="266"/>
    <n v="8"/>
    <n v="35640"/>
    <n v="4442"/>
    <n v="34850"/>
    <n v="208"/>
    <s v="FutureOfDriving"/>
    <s v="EVRevolution"/>
    <s v="BetterWithTesla"/>
    <x v="4"/>
    <n v="0"/>
    <n v="150000"/>
    <n v="180000"/>
    <n v="1.346060606060606E-2"/>
    <n v="0.11879910213243547"/>
  </r>
  <r>
    <s v="P248"/>
    <s v="Facebook"/>
    <d v="2025-02-02T00:00:00"/>
    <s v="Story"/>
    <s v="Check out our latest story on facebook!"/>
    <n v="886"/>
    <n v="126"/>
    <n v="153"/>
    <n v="4430"/>
    <n v="1377"/>
    <n v="4037"/>
    <n v="212"/>
    <s v="EVRevolution"/>
    <m/>
    <m/>
    <x v="4"/>
    <n v="150000"/>
    <n v="0"/>
    <n v="0"/>
    <n v="9.1800000000000007E-3"/>
    <n v="0.26297968397291194"/>
  </r>
  <r>
    <s v="P249"/>
    <s v="Twitter"/>
    <d v="2024-07-18T00:00:00"/>
    <s v="Image"/>
    <s v="Check out our latest image on twitter!"/>
    <n v="827"/>
    <n v="77"/>
    <n v="402"/>
    <n v="14886"/>
    <n v="1560"/>
    <n v="14129"/>
    <n v="254"/>
    <s v="EVRevolution"/>
    <m/>
    <m/>
    <x v="1"/>
    <n v="150000"/>
    <n v="0"/>
    <n v="0"/>
    <n v="1.04E-2"/>
    <n v="8.7733440816874911E-2"/>
  </r>
  <r>
    <s v="P250"/>
    <s v="Facebook"/>
    <d v="2024-06-22T00:00:00"/>
    <s v="Reel"/>
    <s v="Check out our latest reel on facebook!"/>
    <n v="3813"/>
    <n v="935"/>
    <n v="274"/>
    <n v="68634"/>
    <n v="5273"/>
    <n v="68488"/>
    <n v="251"/>
    <s v="FutureOfDriving"/>
    <m/>
    <m/>
    <x v="4"/>
    <n v="0"/>
    <n v="0"/>
    <n v="0"/>
    <s v=""/>
    <n v="7.3170731707317069E-2"/>
  </r>
  <r>
    <s v="P251"/>
    <s v="Instagram"/>
    <d v="2025-03-27T00:00:00"/>
    <s v="Carousel"/>
    <s v="Check out our latest carousel on instagram!"/>
    <n v="1377"/>
    <n v="796"/>
    <n v="387"/>
    <n v="22032"/>
    <n v="2749"/>
    <n v="21869"/>
    <n v="189"/>
    <s v="FutureOfDriving"/>
    <m/>
    <m/>
    <x v="4"/>
    <n v="0"/>
    <n v="0"/>
    <n v="0"/>
    <s v=""/>
    <n v="0.11619462599854757"/>
  </r>
  <r>
    <s v="P252"/>
    <s v="Facebook"/>
    <d v="2025-04-28T00:00:00"/>
    <s v="Carousel"/>
    <s v="Check out our latest carousel on facebook!"/>
    <n v="2089"/>
    <n v="476"/>
    <n v="69"/>
    <n v="16712"/>
    <n v="2698"/>
    <n v="16309"/>
    <n v="64"/>
    <s v="FutureOfDriving"/>
    <m/>
    <m/>
    <x v="2"/>
    <n v="0"/>
    <n v="0"/>
    <n v="0"/>
    <s v=""/>
    <n v="0.15761129727142173"/>
  </r>
  <r>
    <s v="P253"/>
    <s v="Twitter"/>
    <d v="2024-08-03T00:00:00"/>
    <s v="Reel"/>
    <s v="Check out our latest reel on twitter!"/>
    <n v="3791"/>
    <n v="593"/>
    <n v="228"/>
    <n v="53074"/>
    <n v="4817"/>
    <n v="52613"/>
    <n v="205"/>
    <s v="EVRevolution"/>
    <m/>
    <m/>
    <x v="4"/>
    <n v="150000"/>
    <n v="0"/>
    <n v="0"/>
    <n v="3.2113333333333334E-2"/>
    <n v="8.6897539284772202E-2"/>
  </r>
  <r>
    <s v="P254"/>
    <s v="Twitter"/>
    <d v="2025-01-14T00:00:00"/>
    <s v="Image"/>
    <s v="Check out our latest image on twitter!"/>
    <n v="2692"/>
    <n v="115"/>
    <n v="64"/>
    <n v="21536"/>
    <n v="3095"/>
    <n v="21120"/>
    <n v="224"/>
    <s v="FutureOfDriving"/>
    <m/>
    <m/>
    <x v="1"/>
    <n v="0"/>
    <n v="0"/>
    <n v="0"/>
    <s v=""/>
    <n v="0.13331166419019316"/>
  </r>
  <r>
    <s v="P255"/>
    <s v="Facebook"/>
    <d v="2025-04-03T00:00:00"/>
    <s v="Story"/>
    <s v="Check out our latest story on facebook!"/>
    <n v="3767"/>
    <n v="514"/>
    <n v="238"/>
    <n v="37670"/>
    <n v="4745"/>
    <n v="36807"/>
    <n v="226"/>
    <s v="FutureOfDriving"/>
    <m/>
    <m/>
    <x v="3"/>
    <n v="0"/>
    <n v="0"/>
    <n v="0"/>
    <s v=""/>
    <n v="0.11996283514733209"/>
  </r>
  <r>
    <s v="P256"/>
    <s v="YouTube"/>
    <d v="2024-09-18T00:00:00"/>
    <s v="Carousel"/>
    <s v="Check out our latest carousel on youtube!"/>
    <n v="2143"/>
    <n v="12"/>
    <n v="204"/>
    <n v="40717"/>
    <n v="2607"/>
    <n v="40125"/>
    <n v="248"/>
    <s v="EVRevolution"/>
    <m/>
    <m/>
    <x v="1"/>
    <n v="150000"/>
    <n v="0"/>
    <n v="0"/>
    <n v="1.738E-2"/>
    <n v="5.7936488444630008E-2"/>
  </r>
  <r>
    <s v="P257"/>
    <s v="Facebook"/>
    <d v="2025-04-06T00:00:00"/>
    <s v="Image"/>
    <s v="Check out our latest image on facebook!"/>
    <n v="3090"/>
    <n v="697"/>
    <n v="164"/>
    <n v="49440"/>
    <n v="3976"/>
    <n v="48524"/>
    <n v="25"/>
    <s v="EVRevolution"/>
    <s v="EVRevolution"/>
    <s v="BetterWithTesla"/>
    <x v="1"/>
    <n v="150000"/>
    <n v="150000"/>
    <n v="180000"/>
    <n v="8.2833333333333335E-3"/>
    <n v="7.9915048543689318E-2"/>
  </r>
  <r>
    <s v="P258"/>
    <s v="Instagram"/>
    <d v="2024-08-05T00:00:00"/>
    <s v="Story"/>
    <s v="Check out our latest story on instagram!"/>
    <n v="3601"/>
    <n v="695"/>
    <n v="75"/>
    <n v="21606"/>
    <n v="4543"/>
    <n v="21454"/>
    <n v="172"/>
    <s v="EVRevolution"/>
    <m/>
    <m/>
    <x v="1"/>
    <n v="150000"/>
    <n v="0"/>
    <n v="0"/>
    <n v="3.0286666666666667E-2"/>
    <n v="0.2023049153013052"/>
  </r>
  <r>
    <s v="P259"/>
    <s v="Facebook"/>
    <d v="2025-02-10T00:00:00"/>
    <s v="Text"/>
    <s v="Check out our latest text on facebook!"/>
    <n v="562"/>
    <n v="158"/>
    <n v="149"/>
    <n v="3372"/>
    <n v="962"/>
    <n v="2940"/>
    <n v="93"/>
    <s v="TeslaCoInnovation"/>
    <m/>
    <m/>
    <x v="0"/>
    <n v="0"/>
    <n v="0"/>
    <n v="0"/>
    <s v=""/>
    <n v="0.25771055753262156"/>
  </r>
  <r>
    <s v="P260"/>
    <s v="Instagram"/>
    <d v="2025-02-12T00:00:00"/>
    <s v="Story"/>
    <s v="Check out our latest story on instagram!"/>
    <n v="4332"/>
    <n v="771"/>
    <n v="219"/>
    <n v="60648"/>
    <n v="5332"/>
    <n v="60397"/>
    <n v="10"/>
    <s v="TeslaCoInnovation"/>
    <s v="EVRevolution"/>
    <s v="BetterWithTesla"/>
    <x v="2"/>
    <n v="0"/>
    <n v="150000"/>
    <n v="180000"/>
    <n v="1.6157575757575756E-2"/>
    <n v="8.7752275425405618E-2"/>
  </r>
  <r>
    <s v="P261"/>
    <s v="Instagram"/>
    <d v="2024-10-27T00:00:00"/>
    <s v="Image"/>
    <s v="Check out our latest image on instagram!"/>
    <n v="4853"/>
    <n v="837"/>
    <n v="340"/>
    <n v="72795"/>
    <n v="6200"/>
    <n v="72237"/>
    <n v="170"/>
    <s v="EVRevolution"/>
    <m/>
    <m/>
    <x v="0"/>
    <n v="150000"/>
    <n v="0"/>
    <n v="0"/>
    <n v="4.1333333333333333E-2"/>
    <n v="8.2835359571399134E-2"/>
  </r>
  <r>
    <s v="P262"/>
    <s v="YouTube"/>
    <d v="2025-01-18T00:00:00"/>
    <s v="Image"/>
    <s v="Check out our latest image on youtube!"/>
    <n v="1206"/>
    <n v="238"/>
    <n v="36"/>
    <n v="9648"/>
    <n v="1717"/>
    <n v="9417"/>
    <n v="237"/>
    <s v="TeslaCoInnovation"/>
    <m/>
    <m/>
    <x v="4"/>
    <n v="0"/>
    <n v="0"/>
    <n v="0"/>
    <s v=""/>
    <n v="0.15339966832504145"/>
  </r>
  <r>
    <s v="P263"/>
    <s v="Instagram"/>
    <d v="2024-08-20T00:00:00"/>
    <s v="Reel"/>
    <s v="Check out our latest reel on instagram!"/>
    <n v="2603"/>
    <n v="690"/>
    <n v="205"/>
    <n v="13015"/>
    <n v="3518"/>
    <n v="12130"/>
    <n v="20"/>
    <s v="FutureOfDriving"/>
    <m/>
    <m/>
    <x v="1"/>
    <n v="0"/>
    <n v="0"/>
    <n v="0"/>
    <s v=""/>
    <n v="0.26876680752977333"/>
  </r>
  <r>
    <s v="P264"/>
    <s v="Twitter"/>
    <d v="2025-01-30T00:00:00"/>
    <s v="Image"/>
    <s v="Check out our latest image on twitter!"/>
    <n v="59"/>
    <n v="163"/>
    <n v="93"/>
    <n v="590"/>
    <n v="608"/>
    <n v="475"/>
    <n v="293"/>
    <s v="TeslaCoInnovation"/>
    <m/>
    <m/>
    <x v="1"/>
    <n v="0"/>
    <n v="0"/>
    <n v="0"/>
    <s v=""/>
    <n v="0.53389830508474578"/>
  </r>
  <r>
    <s v="P265"/>
    <s v="Twitter"/>
    <d v="2025-02-20T00:00:00"/>
    <s v="Carousel"/>
    <s v="Check out our latest carousel on twitter!"/>
    <n v="1877"/>
    <n v="745"/>
    <n v="225"/>
    <n v="11262"/>
    <n v="2888"/>
    <n v="10967"/>
    <n v="41"/>
    <s v="EVRevolution"/>
    <m/>
    <m/>
    <x v="3"/>
    <n v="150000"/>
    <n v="0"/>
    <n v="0"/>
    <n v="1.9253333333333334E-2"/>
    <n v="0.25279701651571657"/>
  </r>
  <r>
    <s v="P266"/>
    <s v="Facebook"/>
    <d v="2024-11-25T00:00:00"/>
    <s v="Story"/>
    <s v="Check out our latest story on facebook!"/>
    <n v="4182"/>
    <n v="640"/>
    <n v="240"/>
    <n v="50184"/>
    <n v="5072"/>
    <n v="49351"/>
    <n v="10"/>
    <s v="TeslaCoInnovation"/>
    <m/>
    <m/>
    <x v="2"/>
    <n v="0"/>
    <n v="0"/>
    <n v="0"/>
    <s v=""/>
    <n v="0.10086880280567512"/>
  </r>
  <r>
    <s v="P267"/>
    <s v="Twitter"/>
    <d v="2024-10-04T00:00:00"/>
    <s v="Reel"/>
    <s v="Check out our latest reel on twitter!"/>
    <n v="4187"/>
    <n v="66"/>
    <n v="31"/>
    <n v="66992"/>
    <n v="4346"/>
    <n v="66614"/>
    <n v="62"/>
    <s v="FutureOfDriving"/>
    <m/>
    <m/>
    <x v="4"/>
    <n v="0"/>
    <n v="0"/>
    <n v="0"/>
    <s v=""/>
    <n v="6.3947934081681396E-2"/>
  </r>
  <r>
    <s v="P268"/>
    <s v="Instagram"/>
    <d v="2025-04-13T00:00:00"/>
    <s v="Reel"/>
    <s v="Check out our latest reel on instagram!"/>
    <n v="4579"/>
    <n v="125"/>
    <n v="300"/>
    <n v="59527"/>
    <n v="5273"/>
    <n v="59400"/>
    <n v="269"/>
    <s v="EVRevolution"/>
    <m/>
    <m/>
    <x v="0"/>
    <n v="150000"/>
    <n v="0"/>
    <n v="0"/>
    <n v="3.5153333333333335E-2"/>
    <n v="8.4062694239588759E-2"/>
  </r>
  <r>
    <s v="P269"/>
    <s v="Instagram"/>
    <d v="2024-11-05T00:00:00"/>
    <s v="Video"/>
    <s v="Check out our latest video on instagram!"/>
    <n v="4561"/>
    <n v="51"/>
    <n v="441"/>
    <n v="22805"/>
    <n v="5098"/>
    <n v="21890"/>
    <n v="45"/>
    <s v="TeslaCoInnovation"/>
    <m/>
    <m/>
    <x v="1"/>
    <n v="0"/>
    <n v="0"/>
    <n v="0"/>
    <s v=""/>
    <n v="0.22157421618066214"/>
  </r>
  <r>
    <s v="P270"/>
    <s v="YouTube"/>
    <d v="2025-01-15T00:00:00"/>
    <s v="Reel"/>
    <s v="Check out our latest reel on youtube!"/>
    <n v="3774"/>
    <n v="239"/>
    <n v="39"/>
    <n v="60384"/>
    <n v="4293"/>
    <n v="59490"/>
    <n v="241"/>
    <s v="TeslaCoInnovation"/>
    <m/>
    <m/>
    <x v="2"/>
    <n v="0"/>
    <n v="0"/>
    <n v="0"/>
    <s v=""/>
    <n v="6.7103868574456813E-2"/>
  </r>
  <r>
    <s v="P271"/>
    <s v="Instagram"/>
    <d v="2024-10-17T00:00:00"/>
    <s v="Video"/>
    <s v="Check out our latest video on instagram!"/>
    <n v="3575"/>
    <n v="749"/>
    <n v="111"/>
    <n v="21450"/>
    <n v="4630"/>
    <n v="20785"/>
    <n v="195"/>
    <s v="EVRevolution"/>
    <m/>
    <m/>
    <x v="1"/>
    <n v="150000"/>
    <n v="0"/>
    <n v="0"/>
    <n v="3.0866666666666667E-2"/>
    <n v="0.20675990675990677"/>
  </r>
  <r>
    <s v="P272"/>
    <s v="Instagram"/>
    <d v="2025-03-27T00:00:00"/>
    <s v="Text"/>
    <s v="Check out our latest text on instagram!"/>
    <n v="4941"/>
    <n v="414"/>
    <n v="266"/>
    <n v="39528"/>
    <n v="5838"/>
    <n v="39154"/>
    <n v="217"/>
    <s v="TeslaCoInnovation"/>
    <m/>
    <m/>
    <x v="2"/>
    <n v="0"/>
    <n v="0"/>
    <n v="0"/>
    <s v=""/>
    <n v="0.14220299534507186"/>
  </r>
  <r>
    <s v="P273"/>
    <s v="YouTube"/>
    <d v="2024-10-12T00:00:00"/>
    <s v="Story"/>
    <s v="Check out our latest story on youtube!"/>
    <n v="3641"/>
    <n v="226"/>
    <n v="46"/>
    <n v="40051"/>
    <n v="4209"/>
    <n v="39319"/>
    <n v="296"/>
    <s v="EVRevolution"/>
    <m/>
    <m/>
    <x v="3"/>
    <n v="150000"/>
    <n v="0"/>
    <n v="0"/>
    <n v="2.8060000000000002E-2"/>
    <n v="9.7700431949264685E-2"/>
  </r>
  <r>
    <s v="P274"/>
    <s v="Twitter"/>
    <d v="2025-01-01T00:00:00"/>
    <s v="Carousel"/>
    <s v="Check out our latest carousel on twitter!"/>
    <n v="3535"/>
    <n v="494"/>
    <n v="152"/>
    <n v="53025"/>
    <n v="4225"/>
    <n v="52791"/>
    <n v="44"/>
    <s v="TeslaCoInnovation"/>
    <m/>
    <m/>
    <x v="3"/>
    <n v="0"/>
    <n v="0"/>
    <n v="0"/>
    <s v=""/>
    <n v="7.8849599245638849E-2"/>
  </r>
  <r>
    <s v="P275"/>
    <s v="Facebook"/>
    <d v="2024-08-05T00:00:00"/>
    <s v="Reel"/>
    <s v="Check out our latest reel on facebook!"/>
    <n v="1741"/>
    <n v="831"/>
    <n v="345"/>
    <n v="17410"/>
    <n v="2975"/>
    <n v="16844"/>
    <n v="58"/>
    <s v="EVRevolution"/>
    <m/>
    <m/>
    <x v="2"/>
    <n v="150000"/>
    <n v="0"/>
    <n v="0"/>
    <n v="1.9833333333333335E-2"/>
    <n v="0.16754738655944859"/>
  </r>
  <r>
    <s v="P276"/>
    <s v="Twitter"/>
    <d v="2024-06-07T00:00:00"/>
    <s v="Carousel"/>
    <s v="Check out our latest carousel on twitter!"/>
    <n v="1556"/>
    <n v="195"/>
    <n v="131"/>
    <n v="9336"/>
    <n v="2019"/>
    <n v="8875"/>
    <n v="137"/>
    <s v="TeslaCoInnovation"/>
    <m/>
    <m/>
    <x v="1"/>
    <n v="0"/>
    <n v="0"/>
    <n v="0"/>
    <s v=""/>
    <n v="0.2015852613538989"/>
  </r>
  <r>
    <s v="P277"/>
    <s v="Facebook"/>
    <d v="2025-04-06T00:00:00"/>
    <s v="Image"/>
    <s v="Check out our latest image on facebook!"/>
    <n v="4236"/>
    <n v="711"/>
    <n v="298"/>
    <n v="21180"/>
    <n v="5483"/>
    <n v="20516"/>
    <n v="238"/>
    <s v="FutureOfDriving"/>
    <m/>
    <m/>
    <x v="0"/>
    <n v="0"/>
    <n v="0"/>
    <n v="0"/>
    <s v=""/>
    <n v="0.24763928234183191"/>
  </r>
  <r>
    <s v="P278"/>
    <s v="Twitter"/>
    <d v="2024-11-26T00:00:00"/>
    <s v="Text"/>
    <s v="Check out our latest text on twitter!"/>
    <n v="4516"/>
    <n v="836"/>
    <n v="169"/>
    <n v="49676"/>
    <n v="5803"/>
    <n v="49257"/>
    <n v="282"/>
    <s v="EVRevolution"/>
    <m/>
    <m/>
    <x v="3"/>
    <n v="150000"/>
    <n v="0"/>
    <n v="0"/>
    <n v="3.8686666666666668E-2"/>
    <n v="0.11114018842096787"/>
  </r>
  <r>
    <s v="P279"/>
    <s v="YouTube"/>
    <d v="2024-09-02T00:00:00"/>
    <s v="Image"/>
    <s v="Check out our latest image on youtube!"/>
    <n v="4905"/>
    <n v="845"/>
    <n v="129"/>
    <n v="98100"/>
    <n v="6158"/>
    <n v="97772"/>
    <n v="279"/>
    <s v="TeslaCoInnovation"/>
    <m/>
    <m/>
    <x v="1"/>
    <n v="0"/>
    <n v="0"/>
    <n v="0"/>
    <s v=""/>
    <n v="5.9928644240570844E-2"/>
  </r>
  <r>
    <s v="P280"/>
    <s v="YouTube"/>
    <d v="2024-10-21T00:00:00"/>
    <s v="Video"/>
    <s v="Check out our latest video on youtube!"/>
    <n v="4275"/>
    <n v="680"/>
    <n v="385"/>
    <n v="64125"/>
    <n v="5444"/>
    <n v="63650"/>
    <n v="104"/>
    <s v="EVRevolution"/>
    <s v="TeslaCoInnovation"/>
    <s v="AnytimeIsTeslaTime"/>
    <x v="3"/>
    <n v="150000"/>
    <n v="0"/>
    <n v="200000"/>
    <n v="1.5554285714285715E-2"/>
    <n v="8.3274853801169585E-2"/>
  </r>
  <r>
    <s v="P281"/>
    <s v="YouTube"/>
    <d v="2025-03-22T00:00:00"/>
    <s v="Image"/>
    <s v="Check out our latest image on youtube!"/>
    <n v="3166"/>
    <n v="90"/>
    <n v="341"/>
    <n v="56988"/>
    <n v="3732"/>
    <n v="56125"/>
    <n v="135"/>
    <s v="EVRevolution"/>
    <m/>
    <m/>
    <x v="1"/>
    <n v="150000"/>
    <n v="0"/>
    <n v="0"/>
    <n v="2.4879999999999999E-2"/>
    <n v="6.3118551273952411E-2"/>
  </r>
  <r>
    <s v="P282"/>
    <s v="Instagram"/>
    <d v="2024-10-03T00:00:00"/>
    <s v="Video"/>
    <s v="Check out our latest video on instagram!"/>
    <n v="1488"/>
    <n v="417"/>
    <n v="168"/>
    <n v="19344"/>
    <n v="2103"/>
    <n v="18395"/>
    <n v="30"/>
    <s v="FutureOfDriving"/>
    <m/>
    <m/>
    <x v="2"/>
    <n v="0"/>
    <n v="0"/>
    <n v="0"/>
    <s v=""/>
    <n v="0.1071650124069479"/>
  </r>
  <r>
    <s v="P283"/>
    <s v="Twitter"/>
    <d v="2025-05-09T00:00:00"/>
    <s v="Reel"/>
    <s v="Check out our latest reel on twitter!"/>
    <n v="3367"/>
    <n v="302"/>
    <n v="57"/>
    <n v="63973"/>
    <n v="3883"/>
    <n v="63789"/>
    <n v="157"/>
    <s v="FutureOfDriving"/>
    <m/>
    <m/>
    <x v="1"/>
    <n v="0"/>
    <n v="0"/>
    <n v="0"/>
    <s v=""/>
    <n v="5.8243321401216137E-2"/>
  </r>
  <r>
    <s v="P284"/>
    <s v="Twitter"/>
    <d v="2024-09-17T00:00:00"/>
    <s v="Text"/>
    <s v="Check out our latest text on twitter!"/>
    <n v="571"/>
    <n v="190"/>
    <n v="352"/>
    <n v="9707"/>
    <n v="1344"/>
    <n v="9418"/>
    <n v="231"/>
    <s v="TeslaCoInnovation"/>
    <m/>
    <m/>
    <x v="3"/>
    <n v="0"/>
    <n v="0"/>
    <n v="0"/>
    <s v=""/>
    <n v="0.11465952405480581"/>
  </r>
  <r>
    <s v="P285"/>
    <s v="YouTube"/>
    <d v="2024-07-18T00:00:00"/>
    <s v="Text"/>
    <s v="Check out our latest text on youtube!"/>
    <n v="4021"/>
    <n v="794"/>
    <n v="77"/>
    <n v="36189"/>
    <n v="5066"/>
    <n v="35505"/>
    <n v="174"/>
    <s v="EVRevolution"/>
    <m/>
    <m/>
    <x v="4"/>
    <n v="150000"/>
    <n v="0"/>
    <n v="0"/>
    <n v="3.3773333333333336E-2"/>
    <n v="0.13517919809886983"/>
  </r>
  <r>
    <s v="P286"/>
    <s v="YouTube"/>
    <d v="2024-09-25T00:00:00"/>
    <s v="Video"/>
    <s v="Check out our latest video on youtube!"/>
    <n v="3389"/>
    <n v="344"/>
    <n v="229"/>
    <n v="20334"/>
    <n v="4190"/>
    <n v="19443"/>
    <n v="228"/>
    <s v="FutureOfDriving"/>
    <m/>
    <m/>
    <x v="2"/>
    <n v="0"/>
    <n v="0"/>
    <n v="0"/>
    <s v=""/>
    <n v="0.19484607062063539"/>
  </r>
  <r>
    <s v="P287"/>
    <s v="Instagram"/>
    <d v="2024-08-15T00:00:00"/>
    <s v="Reel"/>
    <s v="Check out our latest reel on instagram!"/>
    <n v="1164"/>
    <n v="616"/>
    <n v="324"/>
    <n v="6984"/>
    <n v="2186"/>
    <n v="6636"/>
    <n v="82"/>
    <s v="EVRevolution"/>
    <m/>
    <m/>
    <x v="0"/>
    <n v="150000"/>
    <n v="0"/>
    <n v="0"/>
    <n v="1.4573333333333334E-2"/>
    <n v="0.30126002290950743"/>
  </r>
  <r>
    <s v="P288"/>
    <s v="YouTube"/>
    <d v="2025-04-17T00:00:00"/>
    <s v="Carousel"/>
    <s v="Check out our latest carousel on youtube!"/>
    <n v="4780"/>
    <n v="691"/>
    <n v="380"/>
    <n v="86040"/>
    <n v="6113"/>
    <n v="85743"/>
    <n v="262"/>
    <s v="FutureOfDriving"/>
    <m/>
    <m/>
    <x v="2"/>
    <n v="0"/>
    <n v="0"/>
    <n v="0"/>
    <s v=""/>
    <n v="6.800325430032543E-2"/>
  </r>
  <r>
    <s v="P289"/>
    <s v="Facebook"/>
    <d v="2024-11-28T00:00:00"/>
    <s v="Carousel"/>
    <s v="Check out our latest carousel on facebook!"/>
    <n v="2751"/>
    <n v="33"/>
    <n v="430"/>
    <n v="44016"/>
    <n v="3343"/>
    <n v="43415"/>
    <n v="129"/>
    <s v="FutureOfDriving"/>
    <m/>
    <m/>
    <x v="4"/>
    <n v="0"/>
    <n v="0"/>
    <n v="0"/>
    <s v=""/>
    <n v="7.3018902217375503E-2"/>
  </r>
  <r>
    <s v="P290"/>
    <s v="Instagram"/>
    <d v="2024-12-20T00:00:00"/>
    <s v="Carousel"/>
    <s v="Check out our latest carousel on instagram!"/>
    <n v="2107"/>
    <n v="550"/>
    <n v="349"/>
    <n v="35819"/>
    <n v="3197"/>
    <n v="35340"/>
    <n v="191"/>
    <s v="EVRevolution"/>
    <m/>
    <m/>
    <x v="3"/>
    <n v="150000"/>
    <n v="0"/>
    <n v="0"/>
    <n v="2.1313333333333333E-2"/>
    <n v="8.3921940869371006E-2"/>
  </r>
  <r>
    <s v="P291"/>
    <s v="Facebook"/>
    <d v="2024-11-06T00:00:00"/>
    <s v="Video"/>
    <s v="Check out our latest video on facebook!"/>
    <n v="4663"/>
    <n v="145"/>
    <n v="225"/>
    <n v="69945"/>
    <n v="5068"/>
    <n v="69596"/>
    <n v="35"/>
    <s v="EVRevolution"/>
    <m/>
    <m/>
    <x v="3"/>
    <n v="150000"/>
    <n v="0"/>
    <n v="0"/>
    <n v="3.3786666666666666E-2"/>
    <n v="7.1956537279290869E-2"/>
  </r>
  <r>
    <s v="P292"/>
    <s v="Facebook"/>
    <d v="2024-11-17T00:00:00"/>
    <s v="Text"/>
    <s v="Check out our latest text on facebook!"/>
    <n v="880"/>
    <n v="297"/>
    <n v="345"/>
    <n v="12320"/>
    <n v="1760"/>
    <n v="11978"/>
    <n v="238"/>
    <s v="TeslaCoInnovation"/>
    <s v="AnytimeIsTeslaTime"/>
    <m/>
    <x v="4"/>
    <n v="0"/>
    <n v="200000"/>
    <n v="0"/>
    <n v="8.8000000000000005E-3"/>
    <n v="0.12353896103896105"/>
  </r>
  <r>
    <s v="P293"/>
    <s v="Facebook"/>
    <d v="2025-05-14T00:00:00"/>
    <s v="Text"/>
    <s v="Check out our latest text on facebook!"/>
    <n v="2634"/>
    <n v="726"/>
    <n v="241"/>
    <n v="28974"/>
    <n v="3878"/>
    <n v="28102"/>
    <n v="277"/>
    <s v="EVRevolution"/>
    <m/>
    <m/>
    <x v="0"/>
    <n v="150000"/>
    <n v="0"/>
    <n v="0"/>
    <n v="2.5853333333333332E-2"/>
    <n v="0.12428384068475185"/>
  </r>
  <r>
    <s v="P294"/>
    <s v="Facebook"/>
    <d v="2024-06-19T00:00:00"/>
    <s v="Carousel"/>
    <s v="Check out our latest carousel on facebook!"/>
    <n v="4731"/>
    <n v="173"/>
    <n v="276"/>
    <n v="28386"/>
    <n v="5269"/>
    <n v="28185"/>
    <n v="89"/>
    <s v="EVRevolution"/>
    <m/>
    <m/>
    <x v="2"/>
    <n v="150000"/>
    <n v="0"/>
    <n v="0"/>
    <n v="3.5126666666666667E-2"/>
    <n v="0.18248432325794406"/>
  </r>
  <r>
    <s v="P295"/>
    <s v="Twitter"/>
    <d v="2025-05-06T00:00:00"/>
    <s v="Image"/>
    <s v="Check out our latest image on twitter!"/>
    <n v="1952"/>
    <n v="344"/>
    <n v="287"/>
    <n v="15616"/>
    <n v="2818"/>
    <n v="15403"/>
    <n v="235"/>
    <s v="FutureOfDriving"/>
    <s v="TeslaCoInnovation"/>
    <s v="AnytimeIsTeslaTime"/>
    <x v="1"/>
    <n v="0"/>
    <n v="0"/>
    <n v="200000"/>
    <n v="1.409E-2"/>
    <n v="0.16540727459016394"/>
  </r>
  <r>
    <s v="P296"/>
    <s v="Twitter"/>
    <d v="2025-02-11T00:00:00"/>
    <s v="Video"/>
    <s v="Check out our latest video on twitter!"/>
    <n v="3440"/>
    <n v="13"/>
    <n v="20"/>
    <n v="58480"/>
    <n v="3683"/>
    <n v="58146"/>
    <n v="210"/>
    <s v="TeslaCoInnovation"/>
    <s v="SmoothLikeNitroTesla"/>
    <m/>
    <x v="3"/>
    <n v="0"/>
    <n v="250000"/>
    <n v="0"/>
    <n v="1.4732E-2"/>
    <n v="5.9387824897400819E-2"/>
  </r>
  <r>
    <s v="P297"/>
    <s v="Twitter"/>
    <d v="2024-12-24T00:00:00"/>
    <s v="Text"/>
    <s v="Check out our latest text on twitter!"/>
    <n v="2166"/>
    <n v="354"/>
    <n v="117"/>
    <n v="10830"/>
    <n v="2661"/>
    <n v="10245"/>
    <n v="24"/>
    <s v="EVRevolution"/>
    <m/>
    <m/>
    <x v="3"/>
    <n v="150000"/>
    <n v="0"/>
    <n v="0"/>
    <n v="1.7739999999999999E-2"/>
    <n v="0.24349030470914126"/>
  </r>
  <r>
    <s v="P298"/>
    <s v="Facebook"/>
    <d v="2024-10-24T00:00:00"/>
    <s v="Image"/>
    <s v="Check out our latest image on facebook!"/>
    <n v="4303"/>
    <n v="451"/>
    <n v="286"/>
    <n v="86060"/>
    <n v="5054"/>
    <n v="85823"/>
    <n v="14"/>
    <s v="TeslaCoInnovation"/>
    <m/>
    <m/>
    <x v="2"/>
    <n v="0"/>
    <n v="0"/>
    <n v="0"/>
    <s v=""/>
    <n v="5.8563792702765516E-2"/>
  </r>
  <r>
    <s v="P299"/>
    <s v="Facebook"/>
    <d v="2024-08-26T00:00:00"/>
    <s v="Image"/>
    <s v="Check out our latest image on facebook!"/>
    <n v="2581"/>
    <n v="517"/>
    <n v="117"/>
    <n v="23229"/>
    <n v="3285"/>
    <n v="22331"/>
    <n v="70"/>
    <s v="FutureOfDriving"/>
    <m/>
    <m/>
    <x v="2"/>
    <n v="0"/>
    <n v="0"/>
    <n v="0"/>
    <s v=""/>
    <n v="0.13840458048129492"/>
  </r>
  <r>
    <s v="P300"/>
    <s v="Twitter"/>
    <d v="2024-08-31T00:00:00"/>
    <s v="Carousel"/>
    <s v="Check out our latest carousel on twitter!"/>
    <n v="4494"/>
    <n v="717"/>
    <n v="45"/>
    <n v="62916"/>
    <n v="5447"/>
    <n v="62688"/>
    <n v="191"/>
    <s v="TeslaCoInnovation"/>
    <s v="EVRevolution"/>
    <s v="BetterWithTesla"/>
    <x v="0"/>
    <n v="0"/>
    <n v="150000"/>
    <n v="180000"/>
    <n v="1.6506060606060607E-2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31C79-5558-7848-B650-7E37D2C8E352}" name="PivotTable24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numFmtId="165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numFmtId="1" showAll="0"/>
    <pivotField showAll="0"/>
    <pivotField dataField="1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OI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5791D-7C9D-1E49-A50D-1BC3D11E3A3D}" name="PivotTable2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1">
    <pivotField showAll="0"/>
    <pivotField showAll="0"/>
    <pivotField numFmtId="165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numFmtId="1" showAll="0"/>
    <pivotField showAll="0"/>
    <pivotField showAll="0"/>
    <pivotField dataField="1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rowth " fld="20" subtotal="average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5" type="button" dataOnly="0" labelOnly="1" outline="0" axis="axisRow" fieldPosition="0"/>
    </format>
    <format dxfId="3">
      <pivotArea dataOnly="0" labelOnly="1" fieldPosition="0">
        <references count="1">
          <reference field="1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CCC24-87BE-1E40-B204-7FF4A4529B51}" name="PivotTable22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8">
    <pivotField showAll="0"/>
    <pivotField showAll="0"/>
    <pivotField numFmtId="165"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numFmtId="1"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 numFmtId="1"/>
    <dataField name="Average of Impressions" fld="8" subtotal="average" baseField="0" baseItem="0" numFmtId="1"/>
    <dataField name="Sum of Likes" fld="5" baseField="0" baseItem="0" numFmtId="1"/>
    <dataField name="Average of Likes" fld="5" subtotal="average" baseField="0" baseItem="0" numFmtId="1"/>
    <dataField name="Sum of Clicks" fld="10" baseField="0" baseItem="0" numFmtId="1"/>
    <dataField name="Average of Clicks" fld="10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06C4-C988-3C46-8B2D-0171BC04AE4E}">
  <dimension ref="A1:AE301"/>
  <sheetViews>
    <sheetView tabSelected="1" topLeftCell="X1" workbookViewId="0">
      <selection activeCell="U3" sqref="U3"/>
    </sheetView>
  </sheetViews>
  <sheetFormatPr baseColWidth="10" defaultRowHeight="16"/>
  <cols>
    <col min="4" max="4" width="15" customWidth="1"/>
    <col min="5" max="5" width="43.5" customWidth="1"/>
    <col min="13" max="13" width="34.1640625" style="14" customWidth="1"/>
    <col min="14" max="14" width="21.1640625" style="19" customWidth="1"/>
    <col min="15" max="15" width="16" style="19" customWidth="1"/>
    <col min="16" max="16" width="24.5" customWidth="1"/>
    <col min="17" max="17" width="22.6640625" customWidth="1"/>
    <col min="18" max="18" width="16" style="22" customWidth="1"/>
    <col min="19" max="19" width="12.83203125" customWidth="1"/>
    <col min="21" max="21" width="11.1640625" customWidth="1"/>
    <col min="22" max="22" width="12.6640625" customWidth="1"/>
    <col min="24" max="24" width="27.1640625" customWidth="1"/>
    <col min="25" max="25" width="18.6640625" customWidth="1"/>
    <col min="26" max="27" width="22.33203125" customWidth="1"/>
  </cols>
  <sheetData>
    <row r="1" spans="1:3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385</v>
      </c>
      <c r="K1" s="3" t="s">
        <v>9</v>
      </c>
      <c r="L1" s="3" t="s">
        <v>10</v>
      </c>
      <c r="M1" s="15" t="s">
        <v>369</v>
      </c>
      <c r="N1" s="18" t="s">
        <v>369</v>
      </c>
      <c r="O1" s="18" t="s">
        <v>369</v>
      </c>
      <c r="P1" s="1" t="s">
        <v>11</v>
      </c>
      <c r="Q1" s="23" t="s">
        <v>358</v>
      </c>
      <c r="R1" s="24" t="s">
        <v>358</v>
      </c>
      <c r="S1" s="26" t="s">
        <v>358</v>
      </c>
      <c r="T1" s="26" t="s">
        <v>386</v>
      </c>
      <c r="U1" s="26" t="s">
        <v>387</v>
      </c>
      <c r="V1" s="26" t="s">
        <v>390</v>
      </c>
      <c r="W1" s="26" t="s">
        <v>391</v>
      </c>
      <c r="X1" s="26"/>
      <c r="AE1" t="str">
        <f>IFERROR(
  INDEX(Engagement!$A$2:$A$100, MATCH(M6, Campaign!$B$2:$B$100, 0)),
  ""
)</f>
        <v/>
      </c>
    </row>
    <row r="2" spans="1:31">
      <c r="A2" s="4" t="s">
        <v>12</v>
      </c>
      <c r="B2" s="4" t="s">
        <v>13</v>
      </c>
      <c r="C2" s="5">
        <v>45649</v>
      </c>
      <c r="D2" s="4" t="s">
        <v>14</v>
      </c>
      <c r="E2" s="4" t="s">
        <v>15</v>
      </c>
      <c r="F2" s="6">
        <v>1461</v>
      </c>
      <c r="G2" s="6">
        <v>184</v>
      </c>
      <c r="H2" s="6">
        <v>344</v>
      </c>
      <c r="I2" s="6">
        <v>21915</v>
      </c>
      <c r="J2" s="6">
        <f>F2+G2+H2+L2</f>
        <v>2004</v>
      </c>
      <c r="K2" s="6">
        <v>21675</v>
      </c>
      <c r="L2" s="6">
        <v>15</v>
      </c>
      <c r="M2" s="17" t="s">
        <v>16</v>
      </c>
      <c r="N2" s="17" t="s">
        <v>17</v>
      </c>
      <c r="O2" s="17"/>
      <c r="P2" s="4" t="s">
        <v>18</v>
      </c>
      <c r="Q2">
        <f>IFERROR(
  INDEX(Campaign!$C$2:$C$100, MATCH(M2, Campaign!$E$2:$E$100, 0)),
  0
)</f>
        <v>0</v>
      </c>
      <c r="R2" s="25">
        <f>IFERROR(
  INDEX(Campaign!$C$2:$C$100, MATCH(N2, Campaign!$E$2:$E$100, 0)),
  0
)</f>
        <v>200000</v>
      </c>
      <c r="S2">
        <f>IFERROR(
  INDEX(Campaign!$C$2:$C$100, MATCH(O2, Campaign!$E$2:$E$100, 0)),
  0
)</f>
        <v>0</v>
      </c>
      <c r="T2">
        <f>IF((Q2+R2+S2)=0, "", J2/(Q2+R2+S2))</f>
        <v>1.0019999999999999E-2</v>
      </c>
      <c r="U2">
        <f>(F2+H2+G2)/I2</f>
        <v>9.0759753593429152E-2</v>
      </c>
      <c r="V2" s="40">
        <f>IFERROR(
  INDEX(Campaign!$A$2:$A$100, MATCH(M6, Campaign!$E$2:$E$100, 0)),
  ""
)</f>
        <v>45488</v>
      </c>
      <c r="W2" t="str">
        <f>IF(TRIM(O2)="","Before", "During")</f>
        <v>Before</v>
      </c>
      <c r="X2" s="19"/>
    </row>
    <row r="3" spans="1:31">
      <c r="A3" s="4" t="s">
        <v>19</v>
      </c>
      <c r="B3" s="4" t="s">
        <v>13</v>
      </c>
      <c r="C3" s="5">
        <v>45750</v>
      </c>
      <c r="D3" s="4" t="s">
        <v>20</v>
      </c>
      <c r="E3" s="4" t="s">
        <v>21</v>
      </c>
      <c r="F3" s="6">
        <v>4054</v>
      </c>
      <c r="G3" s="6">
        <v>389</v>
      </c>
      <c r="H3" s="6">
        <v>493</v>
      </c>
      <c r="I3" s="6">
        <v>64864</v>
      </c>
      <c r="J3" s="6">
        <f t="shared" ref="J3:J66" si="0">F3+G3+H3+L3</f>
        <v>5053</v>
      </c>
      <c r="K3" s="6">
        <v>64383</v>
      </c>
      <c r="L3" s="6">
        <v>117</v>
      </c>
      <c r="M3" s="16" t="s">
        <v>22</v>
      </c>
      <c r="N3" s="17" t="s">
        <v>23</v>
      </c>
      <c r="O3" s="17"/>
      <c r="P3" s="4" t="s">
        <v>24</v>
      </c>
      <c r="Q3">
        <f>IFERROR(
  INDEX(Campaign!$C$2:$C$100, MATCH(M3, Campaign!$E$2:$E$100, 0)),
  0
)</f>
        <v>0</v>
      </c>
      <c r="R3" s="25">
        <f>IFERROR(
  INDEX(Campaign!$C$2:$C$100, MATCH(N3, Campaign!$E$2:$E$100, 0)),
  0
)</f>
        <v>180000</v>
      </c>
      <c r="S3">
        <f>IFERROR(
  INDEX(Campaign!$C$2:$C$100, MATCH(O3, Campaign!$E$2:$E$100, 0)),
  0
)</f>
        <v>0</v>
      </c>
      <c r="T3">
        <f>IF((Q3+R3+S3)=0, "", J3/(Q3+R3+S3))</f>
        <v>2.8072222222222221E-2</v>
      </c>
      <c r="U3">
        <f t="shared" ref="U3:U66" si="1">(F3+H3+G3)/I3</f>
        <v>7.6097681302417369E-2</v>
      </c>
      <c r="V3" s="40" t="str">
        <f>IFERROR(
  INDEX(Campaign!$A$2:$A$100, MATCH(M7, Campaign!$E$2:$E$100, 0)),
  ""
)</f>
        <v/>
      </c>
      <c r="W3" t="str">
        <f t="shared" ref="W3:W66" si="2">IF(TRIM(O3)="","Before", "During")</f>
        <v>Before</v>
      </c>
      <c r="X3" s="19"/>
    </row>
    <row r="4" spans="1:31">
      <c r="A4" s="4" t="s">
        <v>25</v>
      </c>
      <c r="B4" s="4" t="s">
        <v>26</v>
      </c>
      <c r="C4" s="5">
        <v>45789</v>
      </c>
      <c r="D4" s="4" t="s">
        <v>14</v>
      </c>
      <c r="E4" s="4" t="s">
        <v>27</v>
      </c>
      <c r="F4" s="6">
        <v>2795</v>
      </c>
      <c r="G4" s="6">
        <v>105</v>
      </c>
      <c r="H4" s="6">
        <v>49</v>
      </c>
      <c r="I4" s="6">
        <v>53105</v>
      </c>
      <c r="J4" s="6">
        <f t="shared" si="0"/>
        <v>3153</v>
      </c>
      <c r="K4" s="6">
        <v>52307</v>
      </c>
      <c r="L4" s="6">
        <v>204</v>
      </c>
      <c r="M4" s="16" t="s">
        <v>22</v>
      </c>
      <c r="N4" s="17"/>
      <c r="O4" s="17"/>
      <c r="P4" s="4" t="s">
        <v>28</v>
      </c>
      <c r="Q4">
        <f>IFERROR(
  INDEX(Campaign!$C$2:$C$100, MATCH(M4, Campaign!$E$2:$E$100, 0)),
  0
)</f>
        <v>0</v>
      </c>
      <c r="R4" s="25">
        <f>IFERROR(
  INDEX(Campaign!$C$2:$C$100, MATCH(N4, Campaign!$E$2:$E$100, 0)),
  0
)</f>
        <v>0</v>
      </c>
      <c r="S4">
        <f>IFERROR(
  INDEX(Campaign!$C$2:$C$100, MATCH(O4, Campaign!$E$2:$E$100, 0)),
  0
)</f>
        <v>0</v>
      </c>
      <c r="T4" t="str">
        <f t="shared" ref="T3:T66" si="3">IF((Q4+R4+S4)=0, "", J4/(Q4+R4+S4))</f>
        <v/>
      </c>
      <c r="U4">
        <f t="shared" si="1"/>
        <v>5.5531494209584788E-2</v>
      </c>
      <c r="V4" s="40" t="str">
        <f>IFERROR(
  INDEX(Campaign!$A$2:$A$100, MATCH(M8, Campaign!$E$2:$E$100, 0)),
  ""
)</f>
        <v/>
      </c>
      <c r="W4" t="str">
        <f t="shared" si="2"/>
        <v>Before</v>
      </c>
      <c r="X4" s="19"/>
    </row>
    <row r="5" spans="1:31">
      <c r="A5" s="4" t="s">
        <v>29</v>
      </c>
      <c r="B5" s="4" t="s">
        <v>30</v>
      </c>
      <c r="C5" s="5">
        <v>45516</v>
      </c>
      <c r="D5" s="4" t="s">
        <v>31</v>
      </c>
      <c r="E5" s="4" t="s">
        <v>32</v>
      </c>
      <c r="F5" s="6">
        <v>2404</v>
      </c>
      <c r="G5" s="6">
        <v>363</v>
      </c>
      <c r="H5" s="6">
        <v>138</v>
      </c>
      <c r="I5" s="6">
        <v>19232</v>
      </c>
      <c r="J5" s="6">
        <f t="shared" si="0"/>
        <v>3033</v>
      </c>
      <c r="K5" s="6">
        <v>18636</v>
      </c>
      <c r="L5" s="6">
        <v>128</v>
      </c>
      <c r="M5" s="16" t="s">
        <v>33</v>
      </c>
      <c r="N5" s="17"/>
      <c r="O5" s="17"/>
      <c r="P5" s="4" t="s">
        <v>34</v>
      </c>
      <c r="Q5">
        <f>IFERROR(
  INDEX(Campaign!$C$2:$C$100, MATCH(M5, Campaign!$E$2:$E$100, 0)),
  0
)</f>
        <v>150000</v>
      </c>
      <c r="R5" s="25">
        <f>IFERROR(
  INDEX(Campaign!$C$2:$C$100, MATCH(N5, Campaign!$E$2:$E$100, 0)),
  0
)</f>
        <v>0</v>
      </c>
      <c r="S5">
        <f>IFERROR(
  INDEX(Campaign!$C$2:$C$100, MATCH(O5, Campaign!$E$2:$E$100, 0)),
  0
)</f>
        <v>0</v>
      </c>
      <c r="T5">
        <f t="shared" si="3"/>
        <v>2.0219999999999998E-2</v>
      </c>
      <c r="U5">
        <f t="shared" si="1"/>
        <v>0.15105033277870217</v>
      </c>
      <c r="V5" s="40">
        <f>IFERROR(
  INDEX(Campaign!$A$2:$A$100, MATCH(M9, Campaign!$E$2:$E$100, 0)),
  ""
)</f>
        <v>45488</v>
      </c>
      <c r="W5" t="str">
        <f t="shared" si="2"/>
        <v>Before</v>
      </c>
      <c r="X5" s="19"/>
    </row>
    <row r="6" spans="1:31">
      <c r="A6" s="4" t="s">
        <v>35</v>
      </c>
      <c r="B6" s="4" t="s">
        <v>26</v>
      </c>
      <c r="C6" s="5">
        <v>45469</v>
      </c>
      <c r="D6" s="4" t="s">
        <v>14</v>
      </c>
      <c r="E6" s="4" t="s">
        <v>27</v>
      </c>
      <c r="F6" s="6">
        <v>3557</v>
      </c>
      <c r="G6" s="6">
        <v>687</v>
      </c>
      <c r="H6" s="6">
        <v>424</v>
      </c>
      <c r="I6" s="6">
        <v>71140</v>
      </c>
      <c r="J6" s="6">
        <f t="shared" si="0"/>
        <v>4892</v>
      </c>
      <c r="K6" s="6">
        <v>70701</v>
      </c>
      <c r="L6" s="6">
        <v>224</v>
      </c>
      <c r="M6" s="16" t="s">
        <v>33</v>
      </c>
      <c r="N6" s="17" t="s">
        <v>22</v>
      </c>
      <c r="O6" s="17"/>
      <c r="P6" s="4" t="s">
        <v>18</v>
      </c>
      <c r="Q6">
        <f>IFERROR(
  INDEX(Campaign!$C$2:$C$100, MATCH(M6, Campaign!$E$2:$E$100, 0)),
  0
)</f>
        <v>150000</v>
      </c>
      <c r="R6" s="25">
        <f>IFERROR(
  INDEX(Campaign!$C$2:$C$100, MATCH(N6, Campaign!$E$2:$E$100, 0)),
  0
)</f>
        <v>0</v>
      </c>
      <c r="S6">
        <f>IFERROR(
  INDEX(Campaign!$C$2:$C$100, MATCH(O6, Campaign!$E$2:$E$100, 0)),
  0
)</f>
        <v>0</v>
      </c>
      <c r="T6">
        <f t="shared" si="3"/>
        <v>3.2613333333333334E-2</v>
      </c>
      <c r="U6">
        <f t="shared" si="1"/>
        <v>6.5617093055946027E-2</v>
      </c>
      <c r="V6" s="40" t="str">
        <f>IFERROR(
  INDEX(Campaign!$A$2:$A$100, MATCH(M10, Campaign!$E$2:$E$100, 0)),
  ""
)</f>
        <v/>
      </c>
      <c r="W6" t="str">
        <f t="shared" si="2"/>
        <v>Before</v>
      </c>
      <c r="X6" s="19"/>
    </row>
    <row r="7" spans="1:31">
      <c r="A7" s="4" t="s">
        <v>36</v>
      </c>
      <c r="B7" s="4" t="s">
        <v>37</v>
      </c>
      <c r="C7" s="5">
        <v>45596</v>
      </c>
      <c r="D7" s="4" t="s">
        <v>38</v>
      </c>
      <c r="E7" s="4" t="s">
        <v>39</v>
      </c>
      <c r="F7" s="6">
        <v>2945</v>
      </c>
      <c r="G7" s="6">
        <v>930</v>
      </c>
      <c r="H7" s="6">
        <v>355</v>
      </c>
      <c r="I7" s="6">
        <v>23560</v>
      </c>
      <c r="J7" s="6">
        <f t="shared" si="0"/>
        <v>4486</v>
      </c>
      <c r="K7" s="6">
        <v>23275</v>
      </c>
      <c r="L7" s="6">
        <v>256</v>
      </c>
      <c r="M7" s="16" t="s">
        <v>22</v>
      </c>
      <c r="N7" s="17"/>
      <c r="O7" s="17"/>
      <c r="P7" s="4" t="s">
        <v>24</v>
      </c>
      <c r="Q7">
        <f>IFERROR(
  INDEX(Campaign!$C$2:$C$100, MATCH(M7, Campaign!$E$2:$E$100, 0)),
  0
)</f>
        <v>0</v>
      </c>
      <c r="R7" s="25">
        <f>IFERROR(
  INDEX(Campaign!$C$2:$C$100, MATCH(N7, Campaign!$E$2:$E$100, 0)),
  0
)</f>
        <v>0</v>
      </c>
      <c r="S7">
        <f>IFERROR(
  INDEX(Campaign!$C$2:$C$100, MATCH(O7, Campaign!$E$2:$E$100, 0)),
  0
)</f>
        <v>0</v>
      </c>
      <c r="T7" t="str">
        <f t="shared" si="3"/>
        <v/>
      </c>
      <c r="U7">
        <f t="shared" si="1"/>
        <v>0.17954159592529711</v>
      </c>
      <c r="V7" s="40" t="str">
        <f>IFERROR(
  INDEX(Campaign!$A$2:$A$100, MATCH(M11, Campaign!$E$2:$E$100, 0)),
  ""
)</f>
        <v/>
      </c>
      <c r="W7" t="str">
        <f t="shared" si="2"/>
        <v>Before</v>
      </c>
      <c r="X7" s="19"/>
    </row>
    <row r="8" spans="1:31">
      <c r="A8" s="4" t="s">
        <v>40</v>
      </c>
      <c r="B8" s="4" t="s">
        <v>13</v>
      </c>
      <c r="C8" s="5">
        <v>45467</v>
      </c>
      <c r="D8" s="4" t="s">
        <v>38</v>
      </c>
      <c r="E8" s="4" t="s">
        <v>41</v>
      </c>
      <c r="F8" s="6">
        <v>3860</v>
      </c>
      <c r="G8" s="6">
        <v>201</v>
      </c>
      <c r="H8" s="6">
        <v>279</v>
      </c>
      <c r="I8" s="6">
        <v>61760</v>
      </c>
      <c r="J8" s="6">
        <f t="shared" si="0"/>
        <v>4575</v>
      </c>
      <c r="K8" s="6">
        <v>61660</v>
      </c>
      <c r="L8" s="6">
        <v>235</v>
      </c>
      <c r="M8" s="16" t="s">
        <v>22</v>
      </c>
      <c r="N8" s="17"/>
      <c r="O8" s="17"/>
      <c r="P8" s="4" t="s">
        <v>24</v>
      </c>
      <c r="Q8">
        <f>IFERROR(
  INDEX(Campaign!$C$2:$C$100, MATCH(M8, Campaign!$E$2:$E$100, 0)),
  0
)</f>
        <v>0</v>
      </c>
      <c r="R8" s="25">
        <f>IFERROR(
  INDEX(Campaign!$C$2:$C$100, MATCH(N8, Campaign!$E$2:$E$100, 0)),
  0
)</f>
        <v>0</v>
      </c>
      <c r="S8">
        <f>IFERROR(
  INDEX(Campaign!$C$2:$C$100, MATCH(O8, Campaign!$E$2:$E$100, 0)),
  0
)</f>
        <v>0</v>
      </c>
      <c r="T8" t="str">
        <f t="shared" si="3"/>
        <v/>
      </c>
      <c r="U8">
        <f t="shared" si="1"/>
        <v>7.0272020725388601E-2</v>
      </c>
      <c r="V8" s="40" t="str">
        <f>IFERROR(
  INDEX(Campaign!$A$2:$A$100, MATCH(M12, Campaign!$E$2:$E$100, 0)),
  ""
)</f>
        <v/>
      </c>
      <c r="W8" t="str">
        <f t="shared" si="2"/>
        <v>Before</v>
      </c>
      <c r="X8" s="19"/>
    </row>
    <row r="9" spans="1:31">
      <c r="A9" s="4" t="s">
        <v>42</v>
      </c>
      <c r="B9" s="4" t="s">
        <v>26</v>
      </c>
      <c r="C9" s="5">
        <v>45486</v>
      </c>
      <c r="D9" s="4" t="s">
        <v>43</v>
      </c>
      <c r="E9" s="4" t="s">
        <v>44</v>
      </c>
      <c r="F9" s="6">
        <v>3929</v>
      </c>
      <c r="G9" s="6">
        <v>262</v>
      </c>
      <c r="H9" s="6">
        <v>278</v>
      </c>
      <c r="I9" s="6">
        <v>43219</v>
      </c>
      <c r="J9" s="6">
        <f t="shared" si="0"/>
        <v>4508</v>
      </c>
      <c r="K9" s="6">
        <v>42841</v>
      </c>
      <c r="L9" s="6">
        <v>39</v>
      </c>
      <c r="M9" s="16" t="s">
        <v>33</v>
      </c>
      <c r="N9" s="17"/>
      <c r="O9" s="17"/>
      <c r="P9" s="4" t="s">
        <v>34</v>
      </c>
      <c r="Q9">
        <f>IFERROR(
  INDEX(Campaign!$C$2:$C$100, MATCH(M9, Campaign!$E$2:$E$100, 0)),
  0
)</f>
        <v>150000</v>
      </c>
      <c r="R9" s="25">
        <f>IFERROR(
  INDEX(Campaign!$C$2:$C$100, MATCH(N9, Campaign!$E$2:$E$100, 0)),
  0
)</f>
        <v>0</v>
      </c>
      <c r="S9">
        <f>IFERROR(
  INDEX(Campaign!$C$2:$C$100, MATCH(O9, Campaign!$E$2:$E$100, 0)),
  0
)</f>
        <v>0</v>
      </c>
      <c r="T9">
        <f t="shared" si="3"/>
        <v>3.0053333333333335E-2</v>
      </c>
      <c r="U9">
        <f t="shared" si="1"/>
        <v>0.10340359564080613</v>
      </c>
      <c r="V9" s="40" t="str">
        <f>IFERROR(
  INDEX(Campaign!$A$2:$A$100, MATCH(M13, Campaign!$E$2:$E$100, 0)),
  ""
)</f>
        <v/>
      </c>
      <c r="W9" t="str">
        <f t="shared" si="2"/>
        <v>Before</v>
      </c>
      <c r="X9" s="19"/>
    </row>
    <row r="10" spans="1:31">
      <c r="A10" s="4" t="s">
        <v>45</v>
      </c>
      <c r="B10" s="4" t="s">
        <v>37</v>
      </c>
      <c r="C10" s="5">
        <v>45534</v>
      </c>
      <c r="D10" s="4" t="s">
        <v>20</v>
      </c>
      <c r="E10" s="4" t="s">
        <v>46</v>
      </c>
      <c r="F10" s="6">
        <v>3784</v>
      </c>
      <c r="G10" s="6">
        <v>808</v>
      </c>
      <c r="H10" s="6">
        <v>404</v>
      </c>
      <c r="I10" s="6">
        <v>56760</v>
      </c>
      <c r="J10" s="6">
        <f t="shared" si="0"/>
        <v>5127</v>
      </c>
      <c r="K10" s="6">
        <v>56343</v>
      </c>
      <c r="L10" s="6">
        <v>131</v>
      </c>
      <c r="M10" s="16" t="s">
        <v>22</v>
      </c>
      <c r="N10" s="17"/>
      <c r="O10" s="17"/>
      <c r="P10" s="4" t="s">
        <v>24</v>
      </c>
      <c r="Q10">
        <f>IFERROR(
  INDEX(Campaign!$C$2:$C$100, MATCH(M10, Campaign!$E$2:$E$100, 0)),
  0
)</f>
        <v>0</v>
      </c>
      <c r="R10" s="25">
        <f>IFERROR(
  INDEX(Campaign!$C$2:$C$100, MATCH(N10, Campaign!$E$2:$E$100, 0)),
  0
)</f>
        <v>0</v>
      </c>
      <c r="S10">
        <f>IFERROR(
  INDEX(Campaign!$C$2:$C$100, MATCH(O10, Campaign!$E$2:$E$100, 0)),
  0
)</f>
        <v>0</v>
      </c>
      <c r="T10" t="str">
        <f t="shared" si="3"/>
        <v/>
      </c>
      <c r="U10">
        <f t="shared" si="1"/>
        <v>8.8019732205778717E-2</v>
      </c>
      <c r="V10" s="40">
        <f>IFERROR(
  INDEX(Campaign!$A$2:$A$100, MATCH(M14, Campaign!$E$2:$E$100, 0)),
  ""
)</f>
        <v>45488</v>
      </c>
      <c r="W10" t="str">
        <f t="shared" si="2"/>
        <v>Before</v>
      </c>
      <c r="X10" s="19"/>
    </row>
    <row r="11" spans="1:31">
      <c r="A11" s="4" t="s">
        <v>47</v>
      </c>
      <c r="B11" s="4" t="s">
        <v>37</v>
      </c>
      <c r="C11" s="5">
        <v>45727</v>
      </c>
      <c r="D11" s="4" t="s">
        <v>43</v>
      </c>
      <c r="E11" s="4" t="s">
        <v>48</v>
      </c>
      <c r="F11" s="6">
        <v>4241</v>
      </c>
      <c r="G11" s="6">
        <v>902</v>
      </c>
      <c r="H11" s="6">
        <v>47</v>
      </c>
      <c r="I11" s="6">
        <v>72097</v>
      </c>
      <c r="J11" s="6">
        <f t="shared" si="0"/>
        <v>5357</v>
      </c>
      <c r="K11" s="6">
        <v>71598</v>
      </c>
      <c r="L11" s="6">
        <v>167</v>
      </c>
      <c r="M11" s="16" t="s">
        <v>22</v>
      </c>
      <c r="N11" s="17"/>
      <c r="O11" s="17"/>
      <c r="P11" s="4" t="s">
        <v>24</v>
      </c>
      <c r="Q11">
        <f>IFERROR(
  INDEX(Campaign!$C$2:$C$100, MATCH(M11, Campaign!$E$2:$E$100, 0)),
  0
)</f>
        <v>0</v>
      </c>
      <c r="R11" s="25">
        <f>IFERROR(
  INDEX(Campaign!$C$2:$C$100, MATCH(N11, Campaign!$E$2:$E$100, 0)),
  0
)</f>
        <v>0</v>
      </c>
      <c r="S11">
        <f>IFERROR(
  INDEX(Campaign!$C$2:$C$100, MATCH(O11, Campaign!$E$2:$E$100, 0)),
  0
)</f>
        <v>0</v>
      </c>
      <c r="T11" t="str">
        <f t="shared" si="3"/>
        <v/>
      </c>
      <c r="U11">
        <f t="shared" si="1"/>
        <v>7.198635172059864E-2</v>
      </c>
      <c r="V11" s="40" t="str">
        <f>IFERROR(
  INDEX(Campaign!$A$2:$A$100, MATCH(M15, Campaign!$E$2:$E$100, 0)),
  ""
)</f>
        <v/>
      </c>
      <c r="W11" t="str">
        <f t="shared" si="2"/>
        <v>Before</v>
      </c>
      <c r="X11" s="19"/>
      <c r="Y11" s="41" t="s">
        <v>392</v>
      </c>
      <c r="Z11" s="41" t="s">
        <v>393</v>
      </c>
      <c r="AA11" s="41" t="s">
        <v>394</v>
      </c>
      <c r="AB11" s="41" t="s">
        <v>395</v>
      </c>
    </row>
    <row r="12" spans="1:31">
      <c r="A12" s="4" t="s">
        <v>49</v>
      </c>
      <c r="B12" s="4" t="s">
        <v>30</v>
      </c>
      <c r="C12" s="5">
        <v>45690</v>
      </c>
      <c r="D12" s="4" t="s">
        <v>31</v>
      </c>
      <c r="E12" s="4" t="s">
        <v>32</v>
      </c>
      <c r="F12" s="6">
        <v>1792</v>
      </c>
      <c r="G12" s="6">
        <v>614</v>
      </c>
      <c r="H12" s="6">
        <v>497</v>
      </c>
      <c r="I12" s="6">
        <v>25088</v>
      </c>
      <c r="J12" s="6">
        <f t="shared" si="0"/>
        <v>2968</v>
      </c>
      <c r="K12" s="6">
        <v>24675</v>
      </c>
      <c r="L12" s="6">
        <v>65</v>
      </c>
      <c r="M12" s="16" t="s">
        <v>16</v>
      </c>
      <c r="N12" s="17"/>
      <c r="O12" s="17"/>
      <c r="P12" s="4" t="s">
        <v>34</v>
      </c>
      <c r="Q12">
        <f>IFERROR(
  INDEX(Campaign!$C$2:$C$100, MATCH(M12, Campaign!$E$2:$E$100, 0)),
  0
)</f>
        <v>0</v>
      </c>
      <c r="R12" s="25">
        <f>IFERROR(
  INDEX(Campaign!$C$2:$C$100, MATCH(N12, Campaign!$E$2:$E$100, 0)),
  0
)</f>
        <v>0</v>
      </c>
      <c r="S12">
        <f>IFERROR(
  INDEX(Campaign!$C$2:$C$100, MATCH(O12, Campaign!$E$2:$E$100, 0)),
  0
)</f>
        <v>0</v>
      </c>
      <c r="T12" t="str">
        <f t="shared" si="3"/>
        <v/>
      </c>
      <c r="U12">
        <f t="shared" si="1"/>
        <v>0.11571269132653061</v>
      </c>
      <c r="V12" s="40" t="str">
        <f>IFERROR(
  INDEX(Campaign!$A$2:$A$100, MATCH(M16, Campaign!$E$2:$E$100, 0)),
  ""
)</f>
        <v/>
      </c>
      <c r="W12" t="str">
        <f t="shared" si="2"/>
        <v>Before</v>
      </c>
      <c r="X12" s="19"/>
      <c r="Y12" s="42" t="s">
        <v>18</v>
      </c>
      <c r="Z12" s="41">
        <f>AVERAGEIFS($J:$J,$P:$P,Y12,$W:$W,"Before")</f>
        <v>3721.0212765957449</v>
      </c>
      <c r="AA12" s="41">
        <f>AVERAGEIFS($J:$J,$P:$P,Y12,$W:$W,"During")</f>
        <v>5447</v>
      </c>
      <c r="AB12" s="41">
        <f>(AA12-Z12)/Z12*100</f>
        <v>46.384543250537483</v>
      </c>
    </row>
    <row r="13" spans="1:31">
      <c r="A13" s="4" t="s">
        <v>50</v>
      </c>
      <c r="B13" s="4" t="s">
        <v>37</v>
      </c>
      <c r="C13" s="5">
        <v>45494</v>
      </c>
      <c r="D13" s="4" t="s">
        <v>14</v>
      </c>
      <c r="E13" s="4" t="s">
        <v>51</v>
      </c>
      <c r="F13" s="6">
        <v>1946</v>
      </c>
      <c r="G13" s="6">
        <v>686</v>
      </c>
      <c r="H13" s="6">
        <v>377</v>
      </c>
      <c r="I13" s="6">
        <v>23352</v>
      </c>
      <c r="J13" s="6">
        <f t="shared" si="0"/>
        <v>3222</v>
      </c>
      <c r="K13" s="6">
        <v>22982</v>
      </c>
      <c r="L13" s="6">
        <v>213</v>
      </c>
      <c r="M13" s="16" t="s">
        <v>16</v>
      </c>
      <c r="N13" s="17"/>
      <c r="O13" s="17"/>
      <c r="P13" s="4" t="s">
        <v>28</v>
      </c>
      <c r="Q13">
        <f>IFERROR(
  INDEX(Campaign!$C$2:$C$100, MATCH(M13, Campaign!$E$2:$E$100, 0)),
  0
)</f>
        <v>0</v>
      </c>
      <c r="R13" s="25">
        <f>IFERROR(
  INDEX(Campaign!$C$2:$C$100, MATCH(N13, Campaign!$E$2:$E$100, 0)),
  0
)</f>
        <v>0</v>
      </c>
      <c r="S13">
        <f>IFERROR(
  INDEX(Campaign!$C$2:$C$100, MATCH(O13, Campaign!$E$2:$E$100, 0)),
  0
)</f>
        <v>0</v>
      </c>
      <c r="T13" t="str">
        <f t="shared" si="3"/>
        <v/>
      </c>
      <c r="U13">
        <f t="shared" si="1"/>
        <v>0.12885405960945528</v>
      </c>
      <c r="V13" s="40" t="str">
        <f>IFERROR(
  INDEX(Campaign!$A$2:$A$100, MATCH(M17, Campaign!$E$2:$E$100, 0)),
  ""
)</f>
        <v/>
      </c>
      <c r="W13" t="str">
        <f t="shared" si="2"/>
        <v>Before</v>
      </c>
      <c r="X13" s="19"/>
      <c r="Y13" s="42" t="s">
        <v>24</v>
      </c>
      <c r="Z13" s="41">
        <f>AVERAGEIFS($J:$J,$P:$P,Y13,$W:$W,"Before")</f>
        <v>3690.8363636363638</v>
      </c>
      <c r="AA13" s="41">
        <f>AVERAGEIFS($J:$J,$P:$P,Y13,$W:$W,"During")</f>
        <v>2871.6666666666665</v>
      </c>
      <c r="AB13" s="41">
        <f t="shared" ref="AB13:AB15" si="4">(AA13-Z13)/Z13*100</f>
        <v>-22.194690207360416</v>
      </c>
    </row>
    <row r="14" spans="1:31">
      <c r="A14" s="4" t="s">
        <v>52</v>
      </c>
      <c r="B14" s="4" t="s">
        <v>26</v>
      </c>
      <c r="C14" s="5">
        <v>45614</v>
      </c>
      <c r="D14" s="4" t="s">
        <v>38</v>
      </c>
      <c r="E14" s="4" t="s">
        <v>53</v>
      </c>
      <c r="F14" s="6">
        <v>1171</v>
      </c>
      <c r="G14" s="6">
        <v>286</v>
      </c>
      <c r="H14" s="6">
        <v>231</v>
      </c>
      <c r="I14" s="6">
        <v>22249</v>
      </c>
      <c r="J14" s="6">
        <f t="shared" si="0"/>
        <v>1802</v>
      </c>
      <c r="K14" s="6">
        <v>21282</v>
      </c>
      <c r="L14" s="6">
        <v>114</v>
      </c>
      <c r="M14" s="16" t="s">
        <v>33</v>
      </c>
      <c r="N14" s="17"/>
      <c r="O14" s="17"/>
      <c r="P14" s="4" t="s">
        <v>18</v>
      </c>
      <c r="Q14">
        <f>IFERROR(
  INDEX(Campaign!$C$2:$C$100, MATCH(M14, Campaign!$E$2:$E$100, 0)),
  0
)</f>
        <v>150000</v>
      </c>
      <c r="R14" s="25">
        <f>IFERROR(
  INDEX(Campaign!$C$2:$C$100, MATCH(N14, Campaign!$E$2:$E$100, 0)),
  0
)</f>
        <v>0</v>
      </c>
      <c r="S14">
        <f>IFERROR(
  INDEX(Campaign!$C$2:$C$100, MATCH(O14, Campaign!$E$2:$E$100, 0)),
  0
)</f>
        <v>0</v>
      </c>
      <c r="T14">
        <f t="shared" si="3"/>
        <v>1.2013333333333334E-2</v>
      </c>
      <c r="U14">
        <f t="shared" si="1"/>
        <v>7.5868578363072495E-2</v>
      </c>
      <c r="V14" s="40">
        <f>IFERROR(
  INDEX(Campaign!$A$2:$A$100, MATCH(M18, Campaign!$E$2:$E$100, 0)),
  ""
)</f>
        <v>45488</v>
      </c>
      <c r="W14" t="str">
        <f t="shared" si="2"/>
        <v>Before</v>
      </c>
      <c r="X14" s="19"/>
      <c r="Y14" s="42" t="s">
        <v>28</v>
      </c>
      <c r="Z14" s="41">
        <f>AVERAGEIFS($J:$J,$P:$P,Y14,$W:$W,"Before")</f>
        <v>3689.968253968254</v>
      </c>
      <c r="AA14" s="41">
        <f t="shared" ref="AA13:AA15" si="5">AVERAGEIFS($J:$J,$P:$P,Y14,$W:$W,"During")</f>
        <v>2596.25</v>
      </c>
      <c r="AB14" s="41">
        <f t="shared" si="4"/>
        <v>-29.640316086515135</v>
      </c>
    </row>
    <row r="15" spans="1:31">
      <c r="A15" s="4" t="s">
        <v>54</v>
      </c>
      <c r="B15" s="4" t="s">
        <v>37</v>
      </c>
      <c r="C15" s="5">
        <v>45704</v>
      </c>
      <c r="D15" s="4" t="s">
        <v>31</v>
      </c>
      <c r="E15" s="4" t="s">
        <v>55</v>
      </c>
      <c r="F15" s="6">
        <v>4242</v>
      </c>
      <c r="G15" s="6">
        <v>555</v>
      </c>
      <c r="H15" s="6">
        <v>131</v>
      </c>
      <c r="I15" s="6">
        <v>33936</v>
      </c>
      <c r="J15" s="6">
        <f t="shared" si="0"/>
        <v>5193</v>
      </c>
      <c r="K15" s="6">
        <v>33802</v>
      </c>
      <c r="L15" s="6">
        <v>265</v>
      </c>
      <c r="M15" s="16" t="s">
        <v>16</v>
      </c>
      <c r="N15" s="17"/>
      <c r="O15" s="17"/>
      <c r="P15" s="7"/>
      <c r="Q15">
        <f>IFERROR(
  INDEX(Campaign!$C$2:$C$100, MATCH(M15, Campaign!$E$2:$E$100, 0)),
  0
)</f>
        <v>0</v>
      </c>
      <c r="R15" s="25">
        <f>IFERROR(
  INDEX(Campaign!$C$2:$C$100, MATCH(N15, Campaign!$E$2:$E$100, 0)),
  0
)</f>
        <v>0</v>
      </c>
      <c r="S15">
        <f>IFERROR(
  INDEX(Campaign!$C$2:$C$100, MATCH(O15, Campaign!$E$2:$E$100, 0)),
  0
)</f>
        <v>0</v>
      </c>
      <c r="T15" t="str">
        <f t="shared" si="3"/>
        <v/>
      </c>
      <c r="U15">
        <f t="shared" si="1"/>
        <v>0.14521452145214522</v>
      </c>
      <c r="V15" s="40" t="str">
        <f>IFERROR(
  INDEX(Campaign!$A$2:$A$100, MATCH(M19, Campaign!$E$2:$E$100, 0)),
  ""
)</f>
        <v/>
      </c>
      <c r="W15" t="str">
        <f t="shared" si="2"/>
        <v>Before</v>
      </c>
      <c r="X15" s="19"/>
      <c r="Y15" s="42" t="s">
        <v>34</v>
      </c>
      <c r="Z15" s="41">
        <f>AVERAGEIFS($J:$J,$P:$P,Y15,$W:$W,"Before")</f>
        <v>3533.6521739130435</v>
      </c>
      <c r="AA15" s="41">
        <f t="shared" si="5"/>
        <v>3675</v>
      </c>
      <c r="AB15" s="41">
        <f t="shared" si="4"/>
        <v>4.0000492162315124</v>
      </c>
    </row>
    <row r="16" spans="1:31">
      <c r="A16" s="4" t="s">
        <v>56</v>
      </c>
      <c r="B16" s="4" t="s">
        <v>37</v>
      </c>
      <c r="C16" s="5">
        <v>45589</v>
      </c>
      <c r="D16" s="4" t="s">
        <v>57</v>
      </c>
      <c r="E16" s="4" t="s">
        <v>58</v>
      </c>
      <c r="F16" s="6">
        <v>3888</v>
      </c>
      <c r="G16" s="6">
        <v>604</v>
      </c>
      <c r="H16" s="6">
        <v>128</v>
      </c>
      <c r="I16" s="6">
        <v>77760</v>
      </c>
      <c r="J16" s="6">
        <f t="shared" si="0"/>
        <v>4640</v>
      </c>
      <c r="K16" s="6">
        <v>77167</v>
      </c>
      <c r="L16" s="6">
        <v>20</v>
      </c>
      <c r="M16" s="16" t="s">
        <v>16</v>
      </c>
      <c r="N16" s="17"/>
      <c r="O16" s="17"/>
      <c r="P16" s="4" t="s">
        <v>18</v>
      </c>
      <c r="Q16">
        <f>IFERROR(
  INDEX(Campaign!$C$2:$C$100, MATCH(M16, Campaign!$E$2:$E$100, 0)),
  0
)</f>
        <v>0</v>
      </c>
      <c r="R16" s="25">
        <f>IFERROR(
  INDEX(Campaign!$C$2:$C$100, MATCH(N16, Campaign!$E$2:$E$100, 0)),
  0
)</f>
        <v>0</v>
      </c>
      <c r="S16">
        <f>IFERROR(
  INDEX(Campaign!$C$2:$C$100, MATCH(O16, Campaign!$E$2:$E$100, 0)),
  0
)</f>
        <v>0</v>
      </c>
      <c r="T16" t="str">
        <f t="shared" si="3"/>
        <v/>
      </c>
      <c r="U16">
        <f t="shared" si="1"/>
        <v>5.941358024691358E-2</v>
      </c>
      <c r="V16" s="40" t="str">
        <f>IFERROR(
  INDEX(Campaign!$A$2:$A$100, MATCH(M20, Campaign!$E$2:$E$100, 0)),
  ""
)</f>
        <v/>
      </c>
      <c r="W16" t="str">
        <f t="shared" si="2"/>
        <v>Before</v>
      </c>
      <c r="X16" s="19"/>
    </row>
    <row r="17" spans="1:24">
      <c r="A17" s="4" t="s">
        <v>59</v>
      </c>
      <c r="B17" s="4" t="s">
        <v>37</v>
      </c>
      <c r="C17" s="5">
        <v>45530</v>
      </c>
      <c r="D17" s="4" t="s">
        <v>20</v>
      </c>
      <c r="E17" s="4" t="s">
        <v>46</v>
      </c>
      <c r="F17" s="6">
        <v>3452</v>
      </c>
      <c r="G17" s="6">
        <v>377</v>
      </c>
      <c r="H17" s="6">
        <v>360</v>
      </c>
      <c r="I17" s="6">
        <v>55232</v>
      </c>
      <c r="J17" s="6">
        <f t="shared" si="0"/>
        <v>4276</v>
      </c>
      <c r="K17" s="6">
        <v>55075</v>
      </c>
      <c r="L17" s="6">
        <v>87</v>
      </c>
      <c r="M17" s="16" t="s">
        <v>16</v>
      </c>
      <c r="N17" s="17"/>
      <c r="O17" s="17"/>
      <c r="P17" s="4" t="s">
        <v>28</v>
      </c>
      <c r="Q17">
        <f>IFERROR(
  INDEX(Campaign!$C$2:$C$100, MATCH(M17, Campaign!$E$2:$E$100, 0)),
  0
)</f>
        <v>0</v>
      </c>
      <c r="R17" s="25">
        <f>IFERROR(
  INDEX(Campaign!$C$2:$C$100, MATCH(N17, Campaign!$E$2:$E$100, 0)),
  0
)</f>
        <v>0</v>
      </c>
      <c r="S17">
        <f>IFERROR(
  INDEX(Campaign!$C$2:$C$100, MATCH(O17, Campaign!$E$2:$E$100, 0)),
  0
)</f>
        <v>0</v>
      </c>
      <c r="T17" t="str">
        <f t="shared" si="3"/>
        <v/>
      </c>
      <c r="U17">
        <f t="shared" si="1"/>
        <v>7.5843713789107758E-2</v>
      </c>
      <c r="V17" s="40" t="str">
        <f>IFERROR(
  INDEX(Campaign!$A$2:$A$100, MATCH(M21, Campaign!$E$2:$E$100, 0)),
  ""
)</f>
        <v/>
      </c>
      <c r="W17" t="str">
        <f t="shared" si="2"/>
        <v>Before</v>
      </c>
      <c r="X17" s="19"/>
    </row>
    <row r="18" spans="1:24">
      <c r="A18" s="4" t="s">
        <v>60</v>
      </c>
      <c r="B18" s="4" t="s">
        <v>37</v>
      </c>
      <c r="C18" s="5">
        <v>45782</v>
      </c>
      <c r="D18" s="4" t="s">
        <v>20</v>
      </c>
      <c r="E18" s="4" t="s">
        <v>46</v>
      </c>
      <c r="F18" s="6">
        <v>4441</v>
      </c>
      <c r="G18" s="6">
        <v>511</v>
      </c>
      <c r="H18" s="6">
        <v>70</v>
      </c>
      <c r="I18" s="6">
        <v>53292</v>
      </c>
      <c r="J18" s="6">
        <f t="shared" si="0"/>
        <v>5181</v>
      </c>
      <c r="K18" s="6">
        <v>53082</v>
      </c>
      <c r="L18" s="6">
        <v>159</v>
      </c>
      <c r="M18" s="16" t="s">
        <v>33</v>
      </c>
      <c r="N18" s="17"/>
      <c r="O18" s="17"/>
      <c r="P18" s="4" t="s">
        <v>34</v>
      </c>
      <c r="Q18">
        <f>IFERROR(
  INDEX(Campaign!$C$2:$C$100, MATCH(M18, Campaign!$E$2:$E$100, 0)),
  0
)</f>
        <v>150000</v>
      </c>
      <c r="R18" s="25">
        <f>IFERROR(
  INDEX(Campaign!$C$2:$C$100, MATCH(N18, Campaign!$E$2:$E$100, 0)),
  0
)</f>
        <v>0</v>
      </c>
      <c r="S18">
        <f>IFERROR(
  INDEX(Campaign!$C$2:$C$100, MATCH(O18, Campaign!$E$2:$E$100, 0)),
  0
)</f>
        <v>0</v>
      </c>
      <c r="T18">
        <f t="shared" si="3"/>
        <v>3.4540000000000001E-2</v>
      </c>
      <c r="U18">
        <f t="shared" si="1"/>
        <v>9.4235532537716729E-2</v>
      </c>
      <c r="V18" s="40" t="str">
        <f>IFERROR(
  INDEX(Campaign!$A$2:$A$100, MATCH(M22, Campaign!$E$2:$E$100, 0)),
  ""
)</f>
        <v/>
      </c>
      <c r="W18" t="str">
        <f t="shared" si="2"/>
        <v>Before</v>
      </c>
      <c r="X18" s="19"/>
    </row>
    <row r="19" spans="1:24">
      <c r="A19" s="4" t="s">
        <v>61</v>
      </c>
      <c r="B19" s="4" t="s">
        <v>30</v>
      </c>
      <c r="C19" s="5">
        <v>45523</v>
      </c>
      <c r="D19" s="4" t="s">
        <v>14</v>
      </c>
      <c r="E19" s="4" t="s">
        <v>62</v>
      </c>
      <c r="F19" s="6">
        <v>3000</v>
      </c>
      <c r="G19" s="6">
        <v>382</v>
      </c>
      <c r="H19" s="6">
        <v>325</v>
      </c>
      <c r="I19" s="6">
        <v>36000</v>
      </c>
      <c r="J19" s="6">
        <f t="shared" si="0"/>
        <v>3726</v>
      </c>
      <c r="K19" s="6">
        <v>35819</v>
      </c>
      <c r="L19" s="6">
        <v>19</v>
      </c>
      <c r="M19" s="16" t="s">
        <v>16</v>
      </c>
      <c r="N19" s="17"/>
      <c r="O19" s="17"/>
      <c r="P19" s="4" t="s">
        <v>18</v>
      </c>
      <c r="Q19">
        <f>IFERROR(
  INDEX(Campaign!$C$2:$C$100, MATCH(M19, Campaign!$E$2:$E$100, 0)),
  0
)</f>
        <v>0</v>
      </c>
      <c r="R19" s="25">
        <f>IFERROR(
  INDEX(Campaign!$C$2:$C$100, MATCH(N19, Campaign!$E$2:$E$100, 0)),
  0
)</f>
        <v>0</v>
      </c>
      <c r="S19">
        <f>IFERROR(
  INDEX(Campaign!$C$2:$C$100, MATCH(O19, Campaign!$E$2:$E$100, 0)),
  0
)</f>
        <v>0</v>
      </c>
      <c r="T19" t="str">
        <f t="shared" si="3"/>
        <v/>
      </c>
      <c r="U19">
        <f t="shared" si="1"/>
        <v>0.10297222222222223</v>
      </c>
      <c r="V19" s="40" t="str">
        <f>IFERROR(
  INDEX(Campaign!$A$2:$A$100, MATCH(M23, Campaign!$E$2:$E$100, 0)),
  ""
)</f>
        <v/>
      </c>
      <c r="W19" t="str">
        <f t="shared" si="2"/>
        <v>Before</v>
      </c>
      <c r="X19" s="19"/>
    </row>
    <row r="20" spans="1:24">
      <c r="A20" s="4" t="s">
        <v>63</v>
      </c>
      <c r="B20" s="4" t="s">
        <v>30</v>
      </c>
      <c r="C20" s="5">
        <v>45466</v>
      </c>
      <c r="D20" s="4" t="s">
        <v>57</v>
      </c>
      <c r="E20" s="4" t="s">
        <v>64</v>
      </c>
      <c r="F20" s="6">
        <v>1071</v>
      </c>
      <c r="G20" s="6">
        <v>519</v>
      </c>
      <c r="H20" s="6">
        <v>22</v>
      </c>
      <c r="I20" s="6">
        <v>16065</v>
      </c>
      <c r="J20" s="6">
        <f t="shared" si="0"/>
        <v>1715</v>
      </c>
      <c r="K20" s="6">
        <v>15865</v>
      </c>
      <c r="L20" s="6">
        <v>103</v>
      </c>
      <c r="M20" s="16" t="s">
        <v>22</v>
      </c>
      <c r="N20" s="17"/>
      <c r="O20" s="17"/>
      <c r="P20" s="4" t="s">
        <v>34</v>
      </c>
      <c r="Q20">
        <f>IFERROR(
  INDEX(Campaign!$C$2:$C$100, MATCH(M20, Campaign!$E$2:$E$100, 0)),
  0
)</f>
        <v>0</v>
      </c>
      <c r="R20" s="25">
        <f>IFERROR(
  INDEX(Campaign!$C$2:$C$100, MATCH(N20, Campaign!$E$2:$E$100, 0)),
  0
)</f>
        <v>0</v>
      </c>
      <c r="S20">
        <f>IFERROR(
  INDEX(Campaign!$C$2:$C$100, MATCH(O20, Campaign!$E$2:$E$100, 0)),
  0
)</f>
        <v>0</v>
      </c>
      <c r="T20" t="str">
        <f t="shared" si="3"/>
        <v/>
      </c>
      <c r="U20">
        <f t="shared" si="1"/>
        <v>0.10034235916588857</v>
      </c>
      <c r="V20" s="40" t="str">
        <f>IFERROR(
  INDEX(Campaign!$A$2:$A$100, MATCH(M24, Campaign!$E$2:$E$100, 0)),
  ""
)</f>
        <v/>
      </c>
      <c r="W20" t="str">
        <f t="shared" si="2"/>
        <v>Before</v>
      </c>
      <c r="X20" s="19"/>
    </row>
    <row r="21" spans="1:24">
      <c r="A21" s="4" t="s">
        <v>65</v>
      </c>
      <c r="B21" s="4" t="s">
        <v>30</v>
      </c>
      <c r="C21" s="5">
        <v>45544</v>
      </c>
      <c r="D21" s="4" t="s">
        <v>38</v>
      </c>
      <c r="E21" s="4" t="s">
        <v>66</v>
      </c>
      <c r="F21" s="6">
        <v>4054</v>
      </c>
      <c r="G21" s="6">
        <v>488</v>
      </c>
      <c r="H21" s="6">
        <v>373</v>
      </c>
      <c r="I21" s="6">
        <v>77026</v>
      </c>
      <c r="J21" s="6">
        <f t="shared" si="0"/>
        <v>4940</v>
      </c>
      <c r="K21" s="6">
        <v>76881</v>
      </c>
      <c r="L21" s="6">
        <v>25</v>
      </c>
      <c r="M21" s="16" t="s">
        <v>22</v>
      </c>
      <c r="N21" s="17"/>
      <c r="O21" s="17"/>
      <c r="P21" s="4" t="s">
        <v>18</v>
      </c>
      <c r="Q21">
        <f>IFERROR(
  INDEX(Campaign!$C$2:$C$100, MATCH(M21, Campaign!$E$2:$E$100, 0)),
  0
)</f>
        <v>0</v>
      </c>
      <c r="R21" s="25">
        <f>IFERROR(
  INDEX(Campaign!$C$2:$C$100, MATCH(N21, Campaign!$E$2:$E$100, 0)),
  0
)</f>
        <v>0</v>
      </c>
      <c r="S21">
        <f>IFERROR(
  INDEX(Campaign!$C$2:$C$100, MATCH(O21, Campaign!$E$2:$E$100, 0)),
  0
)</f>
        <v>0</v>
      </c>
      <c r="T21" t="str">
        <f t="shared" si="3"/>
        <v/>
      </c>
      <c r="U21">
        <f t="shared" si="1"/>
        <v>6.3809622724794221E-2</v>
      </c>
      <c r="V21" s="40" t="str">
        <f>IFERROR(
  INDEX(Campaign!$A$2:$A$100, MATCH(M25, Campaign!$E$2:$E$100, 0)),
  ""
)</f>
        <v/>
      </c>
      <c r="W21" t="str">
        <f t="shared" si="2"/>
        <v>Before</v>
      </c>
      <c r="X21" s="19"/>
    </row>
    <row r="22" spans="1:24">
      <c r="A22" s="4" t="s">
        <v>67</v>
      </c>
      <c r="B22" s="4" t="s">
        <v>30</v>
      </c>
      <c r="C22" s="5">
        <v>45661</v>
      </c>
      <c r="D22" s="4" t="s">
        <v>14</v>
      </c>
      <c r="E22" s="4" t="s">
        <v>62</v>
      </c>
      <c r="F22" s="6">
        <v>4838</v>
      </c>
      <c r="G22" s="6">
        <v>640</v>
      </c>
      <c r="H22" s="6">
        <v>128</v>
      </c>
      <c r="I22" s="6">
        <v>72570</v>
      </c>
      <c r="J22" s="6">
        <f t="shared" si="0"/>
        <v>5689</v>
      </c>
      <c r="K22" s="6">
        <v>72396</v>
      </c>
      <c r="L22" s="6">
        <v>83</v>
      </c>
      <c r="M22" s="16" t="s">
        <v>16</v>
      </c>
      <c r="N22" s="17"/>
      <c r="O22" s="17"/>
      <c r="P22" s="4" t="s">
        <v>34</v>
      </c>
      <c r="Q22">
        <f>IFERROR(
  INDEX(Campaign!$C$2:$C$100, MATCH(M22, Campaign!$E$2:$E$100, 0)),
  0
)</f>
        <v>0</v>
      </c>
      <c r="R22" s="25">
        <f>IFERROR(
  INDEX(Campaign!$C$2:$C$100, MATCH(N22, Campaign!$E$2:$E$100, 0)),
  0
)</f>
        <v>0</v>
      </c>
      <c r="S22">
        <f>IFERROR(
  INDEX(Campaign!$C$2:$C$100, MATCH(O22, Campaign!$E$2:$E$100, 0)),
  0
)</f>
        <v>0</v>
      </c>
      <c r="T22" t="str">
        <f t="shared" si="3"/>
        <v/>
      </c>
      <c r="U22">
        <f t="shared" si="1"/>
        <v>7.7249552156538517E-2</v>
      </c>
      <c r="V22" s="40">
        <f>IFERROR(
  INDEX(Campaign!$A$2:$A$100, MATCH(M26, Campaign!$E$2:$E$100, 0)),
  ""
)</f>
        <v>45488</v>
      </c>
      <c r="W22" t="str">
        <f t="shared" si="2"/>
        <v>Before</v>
      </c>
      <c r="X22" s="19"/>
    </row>
    <row r="23" spans="1:24">
      <c r="A23" s="4" t="s">
        <v>68</v>
      </c>
      <c r="B23" s="4" t="s">
        <v>37</v>
      </c>
      <c r="C23" s="5">
        <v>45715</v>
      </c>
      <c r="D23" s="4" t="s">
        <v>20</v>
      </c>
      <c r="E23" s="4" t="s">
        <v>46</v>
      </c>
      <c r="F23" s="6">
        <v>1570</v>
      </c>
      <c r="G23" s="6">
        <v>187</v>
      </c>
      <c r="H23" s="6">
        <v>260</v>
      </c>
      <c r="I23" s="6">
        <v>25120</v>
      </c>
      <c r="J23" s="6">
        <f t="shared" si="0"/>
        <v>2150</v>
      </c>
      <c r="K23" s="6">
        <v>24613</v>
      </c>
      <c r="L23" s="6">
        <v>133</v>
      </c>
      <c r="M23" s="16" t="s">
        <v>22</v>
      </c>
      <c r="N23" s="17"/>
      <c r="O23" s="17"/>
      <c r="P23" s="4" t="s">
        <v>34</v>
      </c>
      <c r="Q23">
        <f>IFERROR(
  INDEX(Campaign!$C$2:$C$100, MATCH(M23, Campaign!$E$2:$E$100, 0)),
  0
)</f>
        <v>0</v>
      </c>
      <c r="R23" s="25">
        <f>IFERROR(
  INDEX(Campaign!$C$2:$C$100, MATCH(N23, Campaign!$E$2:$E$100, 0)),
  0
)</f>
        <v>0</v>
      </c>
      <c r="S23">
        <f>IFERROR(
  INDEX(Campaign!$C$2:$C$100, MATCH(O23, Campaign!$E$2:$E$100, 0)),
  0
)</f>
        <v>0</v>
      </c>
      <c r="T23" t="str">
        <f t="shared" si="3"/>
        <v/>
      </c>
      <c r="U23">
        <f t="shared" si="1"/>
        <v>8.0294585987261149E-2</v>
      </c>
      <c r="V23" s="40" t="str">
        <f>IFERROR(
  INDEX(Campaign!$A$2:$A$100, MATCH(M27, Campaign!$E$2:$E$100, 0)),
  ""
)</f>
        <v/>
      </c>
      <c r="W23" t="str">
        <f t="shared" si="2"/>
        <v>Before</v>
      </c>
      <c r="X23" s="19"/>
    </row>
    <row r="24" spans="1:24">
      <c r="A24" s="4" t="s">
        <v>69</v>
      </c>
      <c r="B24" s="4" t="s">
        <v>37</v>
      </c>
      <c r="C24" s="5">
        <v>45602</v>
      </c>
      <c r="D24" s="4" t="s">
        <v>57</v>
      </c>
      <c r="E24" s="4" t="s">
        <v>58</v>
      </c>
      <c r="F24" s="6">
        <v>1606</v>
      </c>
      <c r="G24" s="6">
        <v>547</v>
      </c>
      <c r="H24" s="6">
        <v>316</v>
      </c>
      <c r="I24" s="6">
        <v>32120</v>
      </c>
      <c r="J24" s="6">
        <f t="shared" si="0"/>
        <v>2694</v>
      </c>
      <c r="K24" s="6">
        <v>31736</v>
      </c>
      <c r="L24" s="6">
        <v>225</v>
      </c>
      <c r="M24" s="16" t="s">
        <v>22</v>
      </c>
      <c r="N24" s="17" t="s">
        <v>17</v>
      </c>
      <c r="O24" s="17"/>
      <c r="P24" s="4" t="s">
        <v>24</v>
      </c>
      <c r="Q24">
        <f>IFERROR(
  INDEX(Campaign!$C$2:$C$100, MATCH(M24, Campaign!$E$2:$E$100, 0)),
  0
)</f>
        <v>0</v>
      </c>
      <c r="R24" s="25">
        <f>IFERROR(
  INDEX(Campaign!$C$2:$C$100, MATCH(N24, Campaign!$E$2:$E$100, 0)),
  0
)</f>
        <v>200000</v>
      </c>
      <c r="S24">
        <f>IFERROR(
  INDEX(Campaign!$C$2:$C$100, MATCH(O24, Campaign!$E$2:$E$100, 0)),
  0
)</f>
        <v>0</v>
      </c>
      <c r="T24">
        <f t="shared" si="3"/>
        <v>1.3469999999999999E-2</v>
      </c>
      <c r="U24">
        <f t="shared" si="1"/>
        <v>7.6867995018679955E-2</v>
      </c>
      <c r="V24" s="40" t="str">
        <f>IFERROR(
  INDEX(Campaign!$A$2:$A$100, MATCH(M28, Campaign!$E$2:$E$100, 0)),
  ""
)</f>
        <v/>
      </c>
      <c r="W24" t="str">
        <f t="shared" si="2"/>
        <v>Before</v>
      </c>
      <c r="X24" s="19"/>
    </row>
    <row r="25" spans="1:24">
      <c r="A25" s="4" t="s">
        <v>70</v>
      </c>
      <c r="B25" s="4" t="s">
        <v>37</v>
      </c>
      <c r="C25" s="5">
        <v>45680</v>
      </c>
      <c r="D25" s="4" t="s">
        <v>57</v>
      </c>
      <c r="E25" s="4" t="s">
        <v>58</v>
      </c>
      <c r="F25" s="6">
        <v>3961</v>
      </c>
      <c r="G25" s="6">
        <v>761</v>
      </c>
      <c r="H25" s="6">
        <v>131</v>
      </c>
      <c r="I25" s="6">
        <v>67337</v>
      </c>
      <c r="J25" s="6">
        <f t="shared" si="0"/>
        <v>5014</v>
      </c>
      <c r="K25" s="6">
        <v>66615</v>
      </c>
      <c r="L25" s="6">
        <v>161</v>
      </c>
      <c r="M25" s="16" t="s">
        <v>16</v>
      </c>
      <c r="N25" s="17"/>
      <c r="O25" s="17"/>
      <c r="P25" s="4" t="s">
        <v>28</v>
      </c>
      <c r="Q25">
        <f>IFERROR(
  INDEX(Campaign!$C$2:$C$100, MATCH(M25, Campaign!$E$2:$E$100, 0)),
  0
)</f>
        <v>0</v>
      </c>
      <c r="R25" s="25">
        <f>IFERROR(
  INDEX(Campaign!$C$2:$C$100, MATCH(N25, Campaign!$E$2:$E$100, 0)),
  0
)</f>
        <v>0</v>
      </c>
      <c r="S25">
        <f>IFERROR(
  INDEX(Campaign!$C$2:$C$100, MATCH(O25, Campaign!$E$2:$E$100, 0)),
  0
)</f>
        <v>0</v>
      </c>
      <c r="T25" t="str">
        <f t="shared" si="3"/>
        <v/>
      </c>
      <c r="U25">
        <f t="shared" si="1"/>
        <v>7.2070332803659209E-2</v>
      </c>
      <c r="V25" s="40" t="str">
        <f>IFERROR(
  INDEX(Campaign!$A$2:$A$100, MATCH(M29, Campaign!$E$2:$E$100, 0)),
  ""
)</f>
        <v/>
      </c>
      <c r="W25" t="str">
        <f t="shared" si="2"/>
        <v>Before</v>
      </c>
      <c r="X25" s="19"/>
    </row>
    <row r="26" spans="1:24">
      <c r="A26" s="4" t="s">
        <v>71</v>
      </c>
      <c r="B26" s="4" t="s">
        <v>13</v>
      </c>
      <c r="C26" s="5">
        <v>45757</v>
      </c>
      <c r="D26" s="4" t="s">
        <v>38</v>
      </c>
      <c r="E26" s="4" t="s">
        <v>41</v>
      </c>
      <c r="F26" s="6">
        <v>3128</v>
      </c>
      <c r="G26" s="6">
        <v>211</v>
      </c>
      <c r="H26" s="6">
        <v>197</v>
      </c>
      <c r="I26" s="6">
        <v>59432</v>
      </c>
      <c r="J26" s="6">
        <f t="shared" si="0"/>
        <v>3774</v>
      </c>
      <c r="K26" s="6">
        <v>59182</v>
      </c>
      <c r="L26" s="6">
        <v>238</v>
      </c>
      <c r="M26" s="16" t="s">
        <v>33</v>
      </c>
      <c r="N26" s="17"/>
      <c r="O26" s="17"/>
      <c r="P26" s="7"/>
      <c r="Q26">
        <f>IFERROR(
  INDEX(Campaign!$C$2:$C$100, MATCH(M26, Campaign!$E$2:$E$100, 0)),
  0
)</f>
        <v>150000</v>
      </c>
      <c r="R26" s="25">
        <f>IFERROR(
  INDEX(Campaign!$C$2:$C$100, MATCH(N26, Campaign!$E$2:$E$100, 0)),
  0
)</f>
        <v>0</v>
      </c>
      <c r="S26">
        <f>IFERROR(
  INDEX(Campaign!$C$2:$C$100, MATCH(O26, Campaign!$E$2:$E$100, 0)),
  0
)</f>
        <v>0</v>
      </c>
      <c r="T26">
        <f t="shared" si="3"/>
        <v>2.5159999999999998E-2</v>
      </c>
      <c r="U26">
        <f t="shared" si="1"/>
        <v>5.9496567505720827E-2</v>
      </c>
      <c r="V26" s="40" t="str">
        <f>IFERROR(
  INDEX(Campaign!$A$2:$A$100, MATCH(M30, Campaign!$E$2:$E$100, 0)),
  ""
)</f>
        <v/>
      </c>
      <c r="W26" t="str">
        <f t="shared" si="2"/>
        <v>Before</v>
      </c>
      <c r="X26" s="19"/>
    </row>
    <row r="27" spans="1:24">
      <c r="A27" s="4" t="s">
        <v>72</v>
      </c>
      <c r="B27" s="4" t="s">
        <v>26</v>
      </c>
      <c r="C27" s="5">
        <v>45752</v>
      </c>
      <c r="D27" s="4" t="s">
        <v>14</v>
      </c>
      <c r="E27" s="4" t="s">
        <v>27</v>
      </c>
      <c r="F27" s="6">
        <v>3009</v>
      </c>
      <c r="G27" s="6">
        <v>413</v>
      </c>
      <c r="H27" s="6">
        <v>358</v>
      </c>
      <c r="I27" s="6">
        <v>42126</v>
      </c>
      <c r="J27" s="6">
        <f t="shared" si="0"/>
        <v>3991</v>
      </c>
      <c r="K27" s="6">
        <v>41309</v>
      </c>
      <c r="L27" s="6">
        <v>211</v>
      </c>
      <c r="M27" s="16" t="s">
        <v>16</v>
      </c>
      <c r="N27" s="17"/>
      <c r="O27" s="17"/>
      <c r="P27" s="4" t="s">
        <v>24</v>
      </c>
      <c r="Q27">
        <f>IFERROR(
  INDEX(Campaign!$C$2:$C$100, MATCH(M27, Campaign!$E$2:$E$100, 0)),
  0
)</f>
        <v>0</v>
      </c>
      <c r="R27" s="25">
        <f>IFERROR(
  INDEX(Campaign!$C$2:$C$100, MATCH(N27, Campaign!$E$2:$E$100, 0)),
  0
)</f>
        <v>0</v>
      </c>
      <c r="S27">
        <f>IFERROR(
  INDEX(Campaign!$C$2:$C$100, MATCH(O27, Campaign!$E$2:$E$100, 0)),
  0
)</f>
        <v>0</v>
      </c>
      <c r="T27" t="str">
        <f t="shared" si="3"/>
        <v/>
      </c>
      <c r="U27">
        <f t="shared" si="1"/>
        <v>8.9730807577268201E-2</v>
      </c>
      <c r="V27" s="40">
        <f>IFERROR(
  INDEX(Campaign!$A$2:$A$100, MATCH(M31, Campaign!$E$2:$E$100, 0)),
  ""
)</f>
        <v>45488</v>
      </c>
      <c r="W27" t="str">
        <f t="shared" si="2"/>
        <v>Before</v>
      </c>
      <c r="X27" s="19"/>
    </row>
    <row r="28" spans="1:24">
      <c r="A28" s="4" t="s">
        <v>73</v>
      </c>
      <c r="B28" s="4" t="s">
        <v>26</v>
      </c>
      <c r="C28" s="5">
        <v>45552</v>
      </c>
      <c r="D28" s="4" t="s">
        <v>20</v>
      </c>
      <c r="E28" s="4" t="s">
        <v>74</v>
      </c>
      <c r="F28" s="6">
        <v>2076</v>
      </c>
      <c r="G28" s="6">
        <v>195</v>
      </c>
      <c r="H28" s="6">
        <v>104</v>
      </c>
      <c r="I28" s="6">
        <v>33216</v>
      </c>
      <c r="J28" s="6">
        <f t="shared" si="0"/>
        <v>2426</v>
      </c>
      <c r="K28" s="6">
        <v>32244</v>
      </c>
      <c r="L28" s="6">
        <v>51</v>
      </c>
      <c r="M28" s="16" t="s">
        <v>16</v>
      </c>
      <c r="N28" s="17"/>
      <c r="O28" s="17"/>
      <c r="P28" s="4" t="s">
        <v>34</v>
      </c>
      <c r="Q28">
        <f>IFERROR(
  INDEX(Campaign!$C$2:$C$100, MATCH(M28, Campaign!$E$2:$E$100, 0)),
  0
)</f>
        <v>0</v>
      </c>
      <c r="R28" s="25">
        <f>IFERROR(
  INDEX(Campaign!$C$2:$C$100, MATCH(N28, Campaign!$E$2:$E$100, 0)),
  0
)</f>
        <v>0</v>
      </c>
      <c r="S28">
        <f>IFERROR(
  INDEX(Campaign!$C$2:$C$100, MATCH(O28, Campaign!$E$2:$E$100, 0)),
  0
)</f>
        <v>0</v>
      </c>
      <c r="T28" t="str">
        <f t="shared" si="3"/>
        <v/>
      </c>
      <c r="U28">
        <f t="shared" si="1"/>
        <v>7.1501685934489398E-2</v>
      </c>
      <c r="V28" s="40" t="str">
        <f>IFERROR(
  INDEX(Campaign!$A$2:$A$100, MATCH(M32, Campaign!$E$2:$E$100, 0)),
  ""
)</f>
        <v/>
      </c>
      <c r="W28" t="str">
        <f t="shared" si="2"/>
        <v>Before</v>
      </c>
      <c r="X28" s="19"/>
    </row>
    <row r="29" spans="1:24">
      <c r="A29" s="4" t="s">
        <v>75</v>
      </c>
      <c r="B29" s="4" t="s">
        <v>30</v>
      </c>
      <c r="C29" s="5">
        <v>45720</v>
      </c>
      <c r="D29" s="4" t="s">
        <v>57</v>
      </c>
      <c r="E29" s="4" t="s">
        <v>64</v>
      </c>
      <c r="F29" s="6">
        <v>432</v>
      </c>
      <c r="G29" s="6">
        <v>624</v>
      </c>
      <c r="H29" s="6">
        <v>123</v>
      </c>
      <c r="I29" s="6">
        <v>6912</v>
      </c>
      <c r="J29" s="6">
        <f t="shared" si="0"/>
        <v>1258</v>
      </c>
      <c r="K29" s="6">
        <v>6259</v>
      </c>
      <c r="L29" s="6">
        <v>79</v>
      </c>
      <c r="M29" s="16" t="s">
        <v>16</v>
      </c>
      <c r="N29" s="17"/>
      <c r="O29" s="17"/>
      <c r="P29" s="4" t="s">
        <v>34</v>
      </c>
      <c r="Q29">
        <f>IFERROR(
  INDEX(Campaign!$C$2:$C$100, MATCH(M29, Campaign!$E$2:$E$100, 0)),
  0
)</f>
        <v>0</v>
      </c>
      <c r="R29" s="25">
        <f>IFERROR(
  INDEX(Campaign!$C$2:$C$100, MATCH(N29, Campaign!$E$2:$E$100, 0)),
  0
)</f>
        <v>0</v>
      </c>
      <c r="S29">
        <f>IFERROR(
  INDEX(Campaign!$C$2:$C$100, MATCH(O29, Campaign!$E$2:$E$100, 0)),
  0
)</f>
        <v>0</v>
      </c>
      <c r="T29" t="str">
        <f t="shared" si="3"/>
        <v/>
      </c>
      <c r="U29">
        <f t="shared" si="1"/>
        <v>0.17057291666666666</v>
      </c>
      <c r="V29" s="40">
        <f>IFERROR(
  INDEX(Campaign!$A$2:$A$100, MATCH(M33, Campaign!$E$2:$E$100, 0)),
  ""
)</f>
        <v>45488</v>
      </c>
      <c r="W29" t="str">
        <f t="shared" si="2"/>
        <v>Before</v>
      </c>
      <c r="X29" s="19"/>
    </row>
    <row r="30" spans="1:24">
      <c r="A30" s="4" t="s">
        <v>76</v>
      </c>
      <c r="B30" s="4" t="s">
        <v>30</v>
      </c>
      <c r="C30" s="5">
        <v>45688</v>
      </c>
      <c r="D30" s="4" t="s">
        <v>38</v>
      </c>
      <c r="E30" s="4" t="s">
        <v>66</v>
      </c>
      <c r="F30" s="6">
        <v>2566</v>
      </c>
      <c r="G30" s="6">
        <v>118</v>
      </c>
      <c r="H30" s="6">
        <v>37</v>
      </c>
      <c r="I30" s="6">
        <v>12830</v>
      </c>
      <c r="J30" s="6">
        <f t="shared" si="0"/>
        <v>2942</v>
      </c>
      <c r="K30" s="6">
        <v>12264</v>
      </c>
      <c r="L30" s="6">
        <v>221</v>
      </c>
      <c r="M30" s="16" t="s">
        <v>16</v>
      </c>
      <c r="N30" s="17"/>
      <c r="O30" s="17"/>
      <c r="P30" s="4" t="s">
        <v>28</v>
      </c>
      <c r="Q30">
        <f>IFERROR(
  INDEX(Campaign!$C$2:$C$100, MATCH(M30, Campaign!$E$2:$E$100, 0)),
  0
)</f>
        <v>0</v>
      </c>
      <c r="R30" s="25">
        <f>IFERROR(
  INDEX(Campaign!$C$2:$C$100, MATCH(N30, Campaign!$E$2:$E$100, 0)),
  0
)</f>
        <v>0</v>
      </c>
      <c r="S30">
        <f>IFERROR(
  INDEX(Campaign!$C$2:$C$100, MATCH(O30, Campaign!$E$2:$E$100, 0)),
  0
)</f>
        <v>0</v>
      </c>
      <c r="T30" t="str">
        <f t="shared" si="3"/>
        <v/>
      </c>
      <c r="U30">
        <f t="shared" si="1"/>
        <v>0.21208106001558846</v>
      </c>
      <c r="V30" s="40" t="str">
        <f>IFERROR(
  INDEX(Campaign!$A$2:$A$100, MATCH(M34, Campaign!$E$2:$E$100, 0)),
  ""
)</f>
        <v/>
      </c>
      <c r="W30" t="str">
        <f t="shared" si="2"/>
        <v>Before</v>
      </c>
      <c r="X30" s="19"/>
    </row>
    <row r="31" spans="1:24">
      <c r="A31" s="4" t="s">
        <v>77</v>
      </c>
      <c r="B31" s="4" t="s">
        <v>30</v>
      </c>
      <c r="C31" s="5">
        <v>45713</v>
      </c>
      <c r="D31" s="4" t="s">
        <v>57</v>
      </c>
      <c r="E31" s="4" t="s">
        <v>64</v>
      </c>
      <c r="F31" s="6">
        <v>3095</v>
      </c>
      <c r="G31" s="6">
        <v>39</v>
      </c>
      <c r="H31" s="6">
        <v>78</v>
      </c>
      <c r="I31" s="6">
        <v>55710</v>
      </c>
      <c r="J31" s="6">
        <f t="shared" si="0"/>
        <v>3305</v>
      </c>
      <c r="K31" s="6">
        <v>54808</v>
      </c>
      <c r="L31" s="6">
        <v>93</v>
      </c>
      <c r="M31" s="16" t="s">
        <v>33</v>
      </c>
      <c r="N31" s="17"/>
      <c r="O31" s="17"/>
      <c r="P31" s="7"/>
      <c r="Q31">
        <f>IFERROR(
  INDEX(Campaign!$C$2:$C$100, MATCH(M31, Campaign!$E$2:$E$100, 0)),
  0
)</f>
        <v>150000</v>
      </c>
      <c r="R31" s="25">
        <f>IFERROR(
  INDEX(Campaign!$C$2:$C$100, MATCH(N31, Campaign!$E$2:$E$100, 0)),
  0
)</f>
        <v>0</v>
      </c>
      <c r="S31">
        <f>IFERROR(
  INDEX(Campaign!$C$2:$C$100, MATCH(O31, Campaign!$E$2:$E$100, 0)),
  0
)</f>
        <v>0</v>
      </c>
      <c r="T31">
        <f t="shared" si="3"/>
        <v>2.2033333333333332E-2</v>
      </c>
      <c r="U31">
        <f t="shared" si="1"/>
        <v>5.7655717106444085E-2</v>
      </c>
      <c r="V31" s="40" t="str">
        <f>IFERROR(
  INDEX(Campaign!$A$2:$A$100, MATCH(M35, Campaign!$E$2:$E$100, 0)),
  ""
)</f>
        <v/>
      </c>
      <c r="W31" t="str">
        <f t="shared" si="2"/>
        <v>Before</v>
      </c>
      <c r="X31" s="19"/>
    </row>
    <row r="32" spans="1:24">
      <c r="A32" s="4" t="s">
        <v>78</v>
      </c>
      <c r="B32" s="4" t="s">
        <v>30</v>
      </c>
      <c r="C32" s="5">
        <v>45642</v>
      </c>
      <c r="D32" s="4" t="s">
        <v>20</v>
      </c>
      <c r="E32" s="4" t="s">
        <v>79</v>
      </c>
      <c r="F32" s="6">
        <v>438</v>
      </c>
      <c r="G32" s="6">
        <v>153</v>
      </c>
      <c r="H32" s="6">
        <v>275</v>
      </c>
      <c r="I32" s="6">
        <v>3066</v>
      </c>
      <c r="J32" s="6">
        <f t="shared" si="0"/>
        <v>1148</v>
      </c>
      <c r="K32" s="6">
        <v>2701</v>
      </c>
      <c r="L32" s="6">
        <v>282</v>
      </c>
      <c r="M32" s="16" t="s">
        <v>22</v>
      </c>
      <c r="N32" s="17"/>
      <c r="O32" s="17"/>
      <c r="P32" s="4" t="s">
        <v>24</v>
      </c>
      <c r="Q32">
        <f>IFERROR(
  INDEX(Campaign!$C$2:$C$100, MATCH(M32, Campaign!$E$2:$E$100, 0)),
  0
)</f>
        <v>0</v>
      </c>
      <c r="R32" s="25">
        <f>IFERROR(
  INDEX(Campaign!$C$2:$C$100, MATCH(N32, Campaign!$E$2:$E$100, 0)),
  0
)</f>
        <v>0</v>
      </c>
      <c r="S32">
        <f>IFERROR(
  INDEX(Campaign!$C$2:$C$100, MATCH(O32, Campaign!$E$2:$E$100, 0)),
  0
)</f>
        <v>0</v>
      </c>
      <c r="T32" t="str">
        <f t="shared" si="3"/>
        <v/>
      </c>
      <c r="U32">
        <f t="shared" si="1"/>
        <v>0.28245270711024134</v>
      </c>
      <c r="V32" s="40" t="str">
        <f>IFERROR(
  INDEX(Campaign!$A$2:$A$100, MATCH(M36, Campaign!$E$2:$E$100, 0)),
  ""
)</f>
        <v/>
      </c>
      <c r="W32" t="str">
        <f t="shared" si="2"/>
        <v>Before</v>
      </c>
      <c r="X32" s="19"/>
    </row>
    <row r="33" spans="1:24">
      <c r="A33" s="4" t="s">
        <v>80</v>
      </c>
      <c r="B33" s="4" t="s">
        <v>13</v>
      </c>
      <c r="C33" s="5">
        <v>45504</v>
      </c>
      <c r="D33" s="4" t="s">
        <v>38</v>
      </c>
      <c r="E33" s="4" t="s">
        <v>41</v>
      </c>
      <c r="F33" s="6">
        <v>2278</v>
      </c>
      <c r="G33" s="6">
        <v>10</v>
      </c>
      <c r="H33" s="6">
        <v>321</v>
      </c>
      <c r="I33" s="6">
        <v>13668</v>
      </c>
      <c r="J33" s="6">
        <f t="shared" si="0"/>
        <v>2884</v>
      </c>
      <c r="K33" s="6">
        <v>12676</v>
      </c>
      <c r="L33" s="6">
        <v>275</v>
      </c>
      <c r="M33" s="16" t="s">
        <v>33</v>
      </c>
      <c r="N33" s="17"/>
      <c r="O33" s="17"/>
      <c r="P33" s="4" t="s">
        <v>18</v>
      </c>
      <c r="Q33">
        <f>IFERROR(
  INDEX(Campaign!$C$2:$C$100, MATCH(M33, Campaign!$E$2:$E$100, 0)),
  0
)</f>
        <v>150000</v>
      </c>
      <c r="R33" s="25">
        <f>IFERROR(
  INDEX(Campaign!$C$2:$C$100, MATCH(N33, Campaign!$E$2:$E$100, 0)),
  0
)</f>
        <v>0</v>
      </c>
      <c r="S33">
        <f>IFERROR(
  INDEX(Campaign!$C$2:$C$100, MATCH(O33, Campaign!$E$2:$E$100, 0)),
  0
)</f>
        <v>0</v>
      </c>
      <c r="T33">
        <f t="shared" si="3"/>
        <v>1.9226666666666666E-2</v>
      </c>
      <c r="U33">
        <f t="shared" si="1"/>
        <v>0.19088381621305239</v>
      </c>
      <c r="V33" s="40">
        <f>IFERROR(
  INDEX(Campaign!$A$2:$A$100, MATCH(M37, Campaign!$E$2:$E$100, 0)),
  ""
)</f>
        <v>45488</v>
      </c>
      <c r="W33" t="str">
        <f t="shared" si="2"/>
        <v>Before</v>
      </c>
      <c r="X33" s="19"/>
    </row>
    <row r="34" spans="1:24">
      <c r="A34" s="4" t="s">
        <v>81</v>
      </c>
      <c r="B34" s="4" t="s">
        <v>37</v>
      </c>
      <c r="C34" s="5">
        <v>45525</v>
      </c>
      <c r="D34" s="4" t="s">
        <v>43</v>
      </c>
      <c r="E34" s="4" t="s">
        <v>48</v>
      </c>
      <c r="F34" s="6">
        <v>1407</v>
      </c>
      <c r="G34" s="6">
        <v>400</v>
      </c>
      <c r="H34" s="6">
        <v>351</v>
      </c>
      <c r="I34" s="6">
        <v>16884</v>
      </c>
      <c r="J34" s="6">
        <f t="shared" si="0"/>
        <v>2271</v>
      </c>
      <c r="K34" s="6">
        <v>15954</v>
      </c>
      <c r="L34" s="6">
        <v>113</v>
      </c>
      <c r="M34" s="16" t="s">
        <v>22</v>
      </c>
      <c r="N34" s="17"/>
      <c r="O34" s="17"/>
      <c r="P34" s="4" t="s">
        <v>18</v>
      </c>
      <c r="Q34">
        <f>IFERROR(
  INDEX(Campaign!$C$2:$C$100, MATCH(M34, Campaign!$E$2:$E$100, 0)),
  0
)</f>
        <v>0</v>
      </c>
      <c r="R34" s="25">
        <f>IFERROR(
  INDEX(Campaign!$C$2:$C$100, MATCH(N34, Campaign!$E$2:$E$100, 0)),
  0
)</f>
        <v>0</v>
      </c>
      <c r="S34">
        <f>IFERROR(
  INDEX(Campaign!$C$2:$C$100, MATCH(O34, Campaign!$E$2:$E$100, 0)),
  0
)</f>
        <v>0</v>
      </c>
      <c r="T34" t="str">
        <f t="shared" si="3"/>
        <v/>
      </c>
      <c r="U34">
        <f t="shared" si="1"/>
        <v>0.12781331438047855</v>
      </c>
      <c r="V34" s="40">
        <f>IFERROR(
  INDEX(Campaign!$A$2:$A$100, MATCH(M38, Campaign!$E$2:$E$100, 0)),
  ""
)</f>
        <v>45488</v>
      </c>
      <c r="W34" t="str">
        <f t="shared" si="2"/>
        <v>Before</v>
      </c>
      <c r="X34" s="19"/>
    </row>
    <row r="35" spans="1:24">
      <c r="A35" s="4" t="s">
        <v>82</v>
      </c>
      <c r="B35" s="4" t="s">
        <v>37</v>
      </c>
      <c r="C35" s="5">
        <v>45742</v>
      </c>
      <c r="D35" s="4" t="s">
        <v>20</v>
      </c>
      <c r="E35" s="4" t="s">
        <v>46</v>
      </c>
      <c r="F35" s="6">
        <v>1652</v>
      </c>
      <c r="G35" s="6">
        <v>89</v>
      </c>
      <c r="H35" s="6">
        <v>357</v>
      </c>
      <c r="I35" s="6">
        <v>29736</v>
      </c>
      <c r="J35" s="6">
        <f t="shared" si="0"/>
        <v>2313</v>
      </c>
      <c r="K35" s="6">
        <v>28771</v>
      </c>
      <c r="L35" s="6">
        <v>215</v>
      </c>
      <c r="M35" s="16" t="s">
        <v>22</v>
      </c>
      <c r="N35" s="17"/>
      <c r="O35" s="17"/>
      <c r="P35" s="4" t="s">
        <v>28</v>
      </c>
      <c r="Q35">
        <f>IFERROR(
  INDEX(Campaign!$C$2:$C$100, MATCH(M35, Campaign!$E$2:$E$100, 0)),
  0
)</f>
        <v>0</v>
      </c>
      <c r="R35" s="25">
        <f>IFERROR(
  INDEX(Campaign!$C$2:$C$100, MATCH(N35, Campaign!$E$2:$E$100, 0)),
  0
)</f>
        <v>0</v>
      </c>
      <c r="S35">
        <f>IFERROR(
  INDEX(Campaign!$C$2:$C$100, MATCH(O35, Campaign!$E$2:$E$100, 0)),
  0
)</f>
        <v>0</v>
      </c>
      <c r="T35" t="str">
        <f t="shared" si="3"/>
        <v/>
      </c>
      <c r="U35">
        <f t="shared" si="1"/>
        <v>7.055421038471886E-2</v>
      </c>
      <c r="V35" s="40" t="str">
        <f>IFERROR(
  INDEX(Campaign!$A$2:$A$100, MATCH(M39, Campaign!$E$2:$E$100, 0)),
  ""
)</f>
        <v/>
      </c>
      <c r="W35" t="str">
        <f t="shared" si="2"/>
        <v>Before</v>
      </c>
      <c r="X35" s="19"/>
    </row>
    <row r="36" spans="1:24">
      <c r="A36" s="4" t="s">
        <v>83</v>
      </c>
      <c r="B36" s="4" t="s">
        <v>30</v>
      </c>
      <c r="C36" s="5">
        <v>45626</v>
      </c>
      <c r="D36" s="4" t="s">
        <v>57</v>
      </c>
      <c r="E36" s="4" t="s">
        <v>64</v>
      </c>
      <c r="F36" s="6">
        <v>3775</v>
      </c>
      <c r="G36" s="6">
        <v>16</v>
      </c>
      <c r="H36" s="6">
        <v>239</v>
      </c>
      <c r="I36" s="6">
        <v>33975</v>
      </c>
      <c r="J36" s="6">
        <f t="shared" si="0"/>
        <v>4301</v>
      </c>
      <c r="K36" s="6">
        <v>33310</v>
      </c>
      <c r="L36" s="6">
        <v>271</v>
      </c>
      <c r="M36" s="16" t="s">
        <v>16</v>
      </c>
      <c r="N36" s="17"/>
      <c r="O36" s="17"/>
      <c r="P36" s="4" t="s">
        <v>24</v>
      </c>
      <c r="Q36">
        <f>IFERROR(
  INDEX(Campaign!$C$2:$C$100, MATCH(M36, Campaign!$E$2:$E$100, 0)),
  0
)</f>
        <v>0</v>
      </c>
      <c r="R36" s="25">
        <f>IFERROR(
  INDEX(Campaign!$C$2:$C$100, MATCH(N36, Campaign!$E$2:$E$100, 0)),
  0
)</f>
        <v>0</v>
      </c>
      <c r="S36">
        <f>IFERROR(
  INDEX(Campaign!$C$2:$C$100, MATCH(O36, Campaign!$E$2:$E$100, 0)),
  0
)</f>
        <v>0</v>
      </c>
      <c r="T36" t="str">
        <f t="shared" si="3"/>
        <v/>
      </c>
      <c r="U36">
        <f t="shared" si="1"/>
        <v>0.11861662987490802</v>
      </c>
      <c r="V36" s="40" t="str">
        <f>IFERROR(
  INDEX(Campaign!$A$2:$A$100, MATCH(M40, Campaign!$E$2:$E$100, 0)),
  ""
)</f>
        <v/>
      </c>
      <c r="W36" t="str">
        <f t="shared" si="2"/>
        <v>Before</v>
      </c>
      <c r="X36" s="19"/>
    </row>
    <row r="37" spans="1:24">
      <c r="A37" s="4" t="s">
        <v>84</v>
      </c>
      <c r="B37" s="4" t="s">
        <v>30</v>
      </c>
      <c r="C37" s="5">
        <v>45766</v>
      </c>
      <c r="D37" s="4" t="s">
        <v>31</v>
      </c>
      <c r="E37" s="4" t="s">
        <v>32</v>
      </c>
      <c r="F37" s="6">
        <v>4518</v>
      </c>
      <c r="G37" s="6">
        <v>285</v>
      </c>
      <c r="H37" s="6">
        <v>383</v>
      </c>
      <c r="I37" s="6">
        <v>67770</v>
      </c>
      <c r="J37" s="6">
        <f t="shared" si="0"/>
        <v>5217</v>
      </c>
      <c r="K37" s="6">
        <v>67621</v>
      </c>
      <c r="L37" s="6">
        <v>31</v>
      </c>
      <c r="M37" s="16" t="s">
        <v>33</v>
      </c>
      <c r="N37" s="17"/>
      <c r="O37" s="17"/>
      <c r="P37" s="4" t="s">
        <v>24</v>
      </c>
      <c r="Q37">
        <f>IFERROR(
  INDEX(Campaign!$C$2:$C$100, MATCH(M37, Campaign!$E$2:$E$100, 0)),
  0
)</f>
        <v>150000</v>
      </c>
      <c r="R37" s="25">
        <f>IFERROR(
  INDEX(Campaign!$C$2:$C$100, MATCH(N37, Campaign!$E$2:$E$100, 0)),
  0
)</f>
        <v>0</v>
      </c>
      <c r="S37">
        <f>IFERROR(
  INDEX(Campaign!$C$2:$C$100, MATCH(O37, Campaign!$E$2:$E$100, 0)),
  0
)</f>
        <v>0</v>
      </c>
      <c r="T37">
        <f t="shared" si="3"/>
        <v>3.4779999999999998E-2</v>
      </c>
      <c r="U37">
        <f t="shared" si="1"/>
        <v>7.6523535487678915E-2</v>
      </c>
      <c r="V37" s="40">
        <f>IFERROR(
  INDEX(Campaign!$A$2:$A$100, MATCH(M41, Campaign!$E$2:$E$100, 0)),
  ""
)</f>
        <v>45488</v>
      </c>
      <c r="W37" t="str">
        <f t="shared" si="2"/>
        <v>Before</v>
      </c>
      <c r="X37" s="19"/>
    </row>
    <row r="38" spans="1:24">
      <c r="A38" s="4" t="s">
        <v>85</v>
      </c>
      <c r="B38" s="4" t="s">
        <v>37</v>
      </c>
      <c r="C38" s="5">
        <v>45663</v>
      </c>
      <c r="D38" s="4" t="s">
        <v>38</v>
      </c>
      <c r="E38" s="4" t="s">
        <v>39</v>
      </c>
      <c r="F38" s="6">
        <v>3024</v>
      </c>
      <c r="G38" s="6">
        <v>925</v>
      </c>
      <c r="H38" s="6">
        <v>350</v>
      </c>
      <c r="I38" s="6">
        <v>24192</v>
      </c>
      <c r="J38" s="6">
        <f t="shared" si="0"/>
        <v>4335</v>
      </c>
      <c r="K38" s="6">
        <v>23518</v>
      </c>
      <c r="L38" s="6">
        <v>36</v>
      </c>
      <c r="M38" s="16" t="s">
        <v>33</v>
      </c>
      <c r="N38" s="17"/>
      <c r="O38" s="17"/>
      <c r="P38" s="4" t="s">
        <v>24</v>
      </c>
      <c r="Q38">
        <f>IFERROR(
  INDEX(Campaign!$C$2:$C$100, MATCH(M38, Campaign!$E$2:$E$100, 0)),
  0
)</f>
        <v>150000</v>
      </c>
      <c r="R38" s="25">
        <f>IFERROR(
  INDEX(Campaign!$C$2:$C$100, MATCH(N38, Campaign!$E$2:$E$100, 0)),
  0
)</f>
        <v>0</v>
      </c>
      <c r="S38">
        <f>IFERROR(
  INDEX(Campaign!$C$2:$C$100, MATCH(O38, Campaign!$E$2:$E$100, 0)),
  0
)</f>
        <v>0</v>
      </c>
      <c r="T38">
        <f t="shared" si="3"/>
        <v>2.8899999999999999E-2</v>
      </c>
      <c r="U38">
        <f t="shared" si="1"/>
        <v>0.17770337301587302</v>
      </c>
      <c r="V38" s="40" t="str">
        <f>IFERROR(
  INDEX(Campaign!$A$2:$A$100, MATCH(M42, Campaign!$E$2:$E$100, 0)),
  ""
)</f>
        <v/>
      </c>
      <c r="W38" t="str">
        <f t="shared" si="2"/>
        <v>Before</v>
      </c>
      <c r="X38" s="19"/>
    </row>
    <row r="39" spans="1:24">
      <c r="A39" s="4" t="s">
        <v>86</v>
      </c>
      <c r="B39" s="4" t="s">
        <v>26</v>
      </c>
      <c r="C39" s="5">
        <v>45705</v>
      </c>
      <c r="D39" s="4" t="s">
        <v>14</v>
      </c>
      <c r="E39" s="4" t="s">
        <v>27</v>
      </c>
      <c r="F39" s="6">
        <v>3138</v>
      </c>
      <c r="G39" s="6">
        <v>123</v>
      </c>
      <c r="H39" s="6">
        <v>291</v>
      </c>
      <c r="I39" s="6">
        <v>28242</v>
      </c>
      <c r="J39" s="6">
        <f t="shared" si="0"/>
        <v>3639</v>
      </c>
      <c r="K39" s="6">
        <v>27550</v>
      </c>
      <c r="L39" s="6">
        <v>87</v>
      </c>
      <c r="M39" s="16" t="s">
        <v>22</v>
      </c>
      <c r="N39" s="17"/>
      <c r="O39" s="17"/>
      <c r="P39" s="4" t="s">
        <v>34</v>
      </c>
      <c r="Q39">
        <f>IFERROR(
  INDEX(Campaign!$C$2:$C$100, MATCH(M39, Campaign!$E$2:$E$100, 0)),
  0
)</f>
        <v>0</v>
      </c>
      <c r="R39" s="25">
        <f>IFERROR(
  INDEX(Campaign!$C$2:$C$100, MATCH(N39, Campaign!$E$2:$E$100, 0)),
  0
)</f>
        <v>0</v>
      </c>
      <c r="S39">
        <f>IFERROR(
  INDEX(Campaign!$C$2:$C$100, MATCH(O39, Campaign!$E$2:$E$100, 0)),
  0
)</f>
        <v>0</v>
      </c>
      <c r="T39" t="str">
        <f t="shared" si="3"/>
        <v/>
      </c>
      <c r="U39">
        <f t="shared" si="1"/>
        <v>0.12577012959422137</v>
      </c>
      <c r="V39" s="40">
        <f>IFERROR(
  INDEX(Campaign!$A$2:$A$100, MATCH(M43, Campaign!$E$2:$E$100, 0)),
  ""
)</f>
        <v>45488</v>
      </c>
      <c r="W39" t="str">
        <f t="shared" si="2"/>
        <v>Before</v>
      </c>
      <c r="X39" s="19"/>
    </row>
    <row r="40" spans="1:24">
      <c r="A40" s="4" t="s">
        <v>87</v>
      </c>
      <c r="B40" s="4" t="s">
        <v>37</v>
      </c>
      <c r="C40" s="5">
        <v>45621</v>
      </c>
      <c r="D40" s="4" t="s">
        <v>43</v>
      </c>
      <c r="E40" s="4" t="s">
        <v>48</v>
      </c>
      <c r="F40" s="6">
        <v>3564</v>
      </c>
      <c r="G40" s="6">
        <v>629</v>
      </c>
      <c r="H40" s="6">
        <v>177</v>
      </c>
      <c r="I40" s="6">
        <v>60588</v>
      </c>
      <c r="J40" s="6">
        <f t="shared" si="0"/>
        <v>4462</v>
      </c>
      <c r="K40" s="6">
        <v>59627</v>
      </c>
      <c r="L40" s="6">
        <v>92</v>
      </c>
      <c r="M40" s="16" t="s">
        <v>22</v>
      </c>
      <c r="N40" s="17"/>
      <c r="O40" s="17"/>
      <c r="P40" s="7"/>
      <c r="Q40">
        <f>IFERROR(
  INDEX(Campaign!$C$2:$C$100, MATCH(M40, Campaign!$E$2:$E$100, 0)),
  0
)</f>
        <v>0</v>
      </c>
      <c r="R40" s="25">
        <f>IFERROR(
  INDEX(Campaign!$C$2:$C$100, MATCH(N40, Campaign!$E$2:$E$100, 0)),
  0
)</f>
        <v>0</v>
      </c>
      <c r="S40">
        <f>IFERROR(
  INDEX(Campaign!$C$2:$C$100, MATCH(O40, Campaign!$E$2:$E$100, 0)),
  0
)</f>
        <v>0</v>
      </c>
      <c r="T40" t="str">
        <f t="shared" si="3"/>
        <v/>
      </c>
      <c r="U40">
        <f t="shared" si="1"/>
        <v>7.2126493695121141E-2</v>
      </c>
      <c r="V40" s="40" t="str">
        <f>IFERROR(
  INDEX(Campaign!$A$2:$A$100, MATCH(M44, Campaign!$E$2:$E$100, 0)),
  ""
)</f>
        <v/>
      </c>
      <c r="W40" t="str">
        <f t="shared" si="2"/>
        <v>Before</v>
      </c>
      <c r="X40" s="19"/>
    </row>
    <row r="41" spans="1:24">
      <c r="A41" s="4" t="s">
        <v>88</v>
      </c>
      <c r="B41" s="4" t="s">
        <v>13</v>
      </c>
      <c r="C41" s="5">
        <v>45723</v>
      </c>
      <c r="D41" s="4" t="s">
        <v>43</v>
      </c>
      <c r="E41" s="4" t="s">
        <v>89</v>
      </c>
      <c r="F41" s="6">
        <v>4750</v>
      </c>
      <c r="G41" s="6">
        <v>151</v>
      </c>
      <c r="H41" s="6">
        <v>415</v>
      </c>
      <c r="I41" s="6">
        <v>38000</v>
      </c>
      <c r="J41" s="6">
        <f t="shared" si="0"/>
        <v>5615</v>
      </c>
      <c r="K41" s="6">
        <v>37792</v>
      </c>
      <c r="L41" s="6">
        <v>299</v>
      </c>
      <c r="M41" s="16" t="s">
        <v>33</v>
      </c>
      <c r="N41" s="17"/>
      <c r="O41" s="17"/>
      <c r="P41" s="4" t="s">
        <v>34</v>
      </c>
      <c r="Q41">
        <f>IFERROR(
  INDEX(Campaign!$C$2:$C$100, MATCH(M41, Campaign!$E$2:$E$100, 0)),
  0
)</f>
        <v>150000</v>
      </c>
      <c r="R41" s="25">
        <f>IFERROR(
  INDEX(Campaign!$C$2:$C$100, MATCH(N41, Campaign!$E$2:$E$100, 0)),
  0
)</f>
        <v>0</v>
      </c>
      <c r="S41">
        <f>IFERROR(
  INDEX(Campaign!$C$2:$C$100, MATCH(O41, Campaign!$E$2:$E$100, 0)),
  0
)</f>
        <v>0</v>
      </c>
      <c r="T41">
        <f t="shared" si="3"/>
        <v>3.7433333333333332E-2</v>
      </c>
      <c r="U41">
        <f t="shared" si="1"/>
        <v>0.13989473684210527</v>
      </c>
      <c r="V41" s="40" t="str">
        <f>IFERROR(
  INDEX(Campaign!$A$2:$A$100, MATCH(M45, Campaign!$E$2:$E$100, 0)),
  ""
)</f>
        <v/>
      </c>
      <c r="W41" t="str">
        <f t="shared" si="2"/>
        <v>Before</v>
      </c>
      <c r="X41" s="19"/>
    </row>
    <row r="42" spans="1:24">
      <c r="A42" s="4" t="s">
        <v>90</v>
      </c>
      <c r="B42" s="4" t="s">
        <v>30</v>
      </c>
      <c r="C42" s="5">
        <v>45724</v>
      </c>
      <c r="D42" s="4" t="s">
        <v>14</v>
      </c>
      <c r="E42" s="4" t="s">
        <v>62</v>
      </c>
      <c r="F42" s="6">
        <v>456</v>
      </c>
      <c r="G42" s="6">
        <v>629</v>
      </c>
      <c r="H42" s="6">
        <v>428</v>
      </c>
      <c r="I42" s="6">
        <v>8208</v>
      </c>
      <c r="J42" s="6">
        <f t="shared" si="0"/>
        <v>1718</v>
      </c>
      <c r="K42" s="6">
        <v>7377</v>
      </c>
      <c r="L42" s="6">
        <v>205</v>
      </c>
      <c r="M42" s="16" t="s">
        <v>16</v>
      </c>
      <c r="N42" s="17"/>
      <c r="O42" s="17"/>
      <c r="P42" s="4" t="s">
        <v>34</v>
      </c>
      <c r="Q42">
        <f>IFERROR(
  INDEX(Campaign!$C$2:$C$100, MATCH(M42, Campaign!$E$2:$E$100, 0)),
  0
)</f>
        <v>0</v>
      </c>
      <c r="R42" s="25">
        <f>IFERROR(
  INDEX(Campaign!$C$2:$C$100, MATCH(N42, Campaign!$E$2:$E$100, 0)),
  0
)</f>
        <v>0</v>
      </c>
      <c r="S42">
        <f>IFERROR(
  INDEX(Campaign!$C$2:$C$100, MATCH(O42, Campaign!$E$2:$E$100, 0)),
  0
)</f>
        <v>0</v>
      </c>
      <c r="T42" t="str">
        <f t="shared" si="3"/>
        <v/>
      </c>
      <c r="U42">
        <f t="shared" si="1"/>
        <v>0.18433235867446393</v>
      </c>
      <c r="V42" s="40" t="str">
        <f>IFERROR(
  INDEX(Campaign!$A$2:$A$100, MATCH(M46, Campaign!$E$2:$E$100, 0)),
  ""
)</f>
        <v/>
      </c>
      <c r="W42" t="str">
        <f t="shared" si="2"/>
        <v>Before</v>
      </c>
      <c r="X42" s="19"/>
    </row>
    <row r="43" spans="1:24">
      <c r="A43" s="4" t="s">
        <v>91</v>
      </c>
      <c r="B43" s="4" t="s">
        <v>26</v>
      </c>
      <c r="C43" s="5">
        <v>45721</v>
      </c>
      <c r="D43" s="4" t="s">
        <v>14</v>
      </c>
      <c r="E43" s="4" t="s">
        <v>27</v>
      </c>
      <c r="F43" s="6">
        <v>1543</v>
      </c>
      <c r="G43" s="6">
        <v>820</v>
      </c>
      <c r="H43" s="6">
        <v>333</v>
      </c>
      <c r="I43" s="6">
        <v>12344</v>
      </c>
      <c r="J43" s="6">
        <f t="shared" si="0"/>
        <v>2937</v>
      </c>
      <c r="K43" s="6">
        <v>11496</v>
      </c>
      <c r="L43" s="6">
        <v>241</v>
      </c>
      <c r="M43" s="16" t="s">
        <v>33</v>
      </c>
      <c r="N43" s="17"/>
      <c r="O43" s="17"/>
      <c r="P43" s="7"/>
      <c r="Q43">
        <f>IFERROR(
  INDEX(Campaign!$C$2:$C$100, MATCH(M43, Campaign!$E$2:$E$100, 0)),
  0
)</f>
        <v>150000</v>
      </c>
      <c r="R43" s="25">
        <f>IFERROR(
  INDEX(Campaign!$C$2:$C$100, MATCH(N43, Campaign!$E$2:$E$100, 0)),
  0
)</f>
        <v>0</v>
      </c>
      <c r="S43">
        <f>IFERROR(
  INDEX(Campaign!$C$2:$C$100, MATCH(O43, Campaign!$E$2:$E$100, 0)),
  0
)</f>
        <v>0</v>
      </c>
      <c r="T43">
        <f t="shared" si="3"/>
        <v>1.958E-2</v>
      </c>
      <c r="U43">
        <f t="shared" si="1"/>
        <v>0.21840570317563188</v>
      </c>
      <c r="V43" s="40" t="str">
        <f>IFERROR(
  INDEX(Campaign!$A$2:$A$100, MATCH(M47, Campaign!$E$2:$E$100, 0)),
  ""
)</f>
        <v/>
      </c>
      <c r="W43" t="str">
        <f t="shared" si="2"/>
        <v>Before</v>
      </c>
      <c r="X43" s="19"/>
    </row>
    <row r="44" spans="1:24">
      <c r="A44" s="4" t="s">
        <v>92</v>
      </c>
      <c r="B44" s="4" t="s">
        <v>30</v>
      </c>
      <c r="C44" s="5">
        <v>45640</v>
      </c>
      <c r="D44" s="4" t="s">
        <v>38</v>
      </c>
      <c r="E44" s="4" t="s">
        <v>66</v>
      </c>
      <c r="F44" s="6">
        <v>2174</v>
      </c>
      <c r="G44" s="6">
        <v>658</v>
      </c>
      <c r="H44" s="6">
        <v>15</v>
      </c>
      <c r="I44" s="6">
        <v>13044</v>
      </c>
      <c r="J44" s="6">
        <f t="shared" si="0"/>
        <v>2984</v>
      </c>
      <c r="K44" s="6">
        <v>12206</v>
      </c>
      <c r="L44" s="6">
        <v>137</v>
      </c>
      <c r="M44" s="16" t="s">
        <v>22</v>
      </c>
      <c r="N44" s="17"/>
      <c r="O44" s="17"/>
      <c r="P44" s="4" t="s">
        <v>28</v>
      </c>
      <c r="Q44">
        <f>IFERROR(
  INDEX(Campaign!$C$2:$C$100, MATCH(M44, Campaign!$E$2:$E$100, 0)),
  0
)</f>
        <v>0</v>
      </c>
      <c r="R44" s="25">
        <f>IFERROR(
  INDEX(Campaign!$C$2:$C$100, MATCH(N44, Campaign!$E$2:$E$100, 0)),
  0
)</f>
        <v>0</v>
      </c>
      <c r="S44">
        <f>IFERROR(
  INDEX(Campaign!$C$2:$C$100, MATCH(O44, Campaign!$E$2:$E$100, 0)),
  0
)</f>
        <v>0</v>
      </c>
      <c r="T44" t="str">
        <f t="shared" si="3"/>
        <v/>
      </c>
      <c r="U44">
        <f t="shared" si="1"/>
        <v>0.21826126954921804</v>
      </c>
      <c r="V44" s="40" t="str">
        <f>IFERROR(
  INDEX(Campaign!$A$2:$A$100, MATCH(M48, Campaign!$E$2:$E$100, 0)),
  ""
)</f>
        <v/>
      </c>
      <c r="W44" t="str">
        <f t="shared" si="2"/>
        <v>Before</v>
      </c>
      <c r="X44" s="19"/>
    </row>
    <row r="45" spans="1:24">
      <c r="A45" s="4" t="s">
        <v>93</v>
      </c>
      <c r="B45" s="4" t="s">
        <v>13</v>
      </c>
      <c r="C45" s="5">
        <v>45718</v>
      </c>
      <c r="D45" s="4" t="s">
        <v>43</v>
      </c>
      <c r="E45" s="4" t="s">
        <v>89</v>
      </c>
      <c r="F45" s="6">
        <v>2358</v>
      </c>
      <c r="G45" s="6">
        <v>784</v>
      </c>
      <c r="H45" s="6">
        <v>344</v>
      </c>
      <c r="I45" s="6">
        <v>35370</v>
      </c>
      <c r="J45" s="6">
        <f t="shared" si="0"/>
        <v>3702</v>
      </c>
      <c r="K45" s="6">
        <v>34475</v>
      </c>
      <c r="L45" s="6">
        <v>216</v>
      </c>
      <c r="M45" s="16" t="s">
        <v>22</v>
      </c>
      <c r="N45" s="17"/>
      <c r="O45" s="17"/>
      <c r="P45" s="7"/>
      <c r="Q45">
        <f>IFERROR(
  INDEX(Campaign!$C$2:$C$100, MATCH(M45, Campaign!$E$2:$E$100, 0)),
  0
)</f>
        <v>0</v>
      </c>
      <c r="R45" s="25">
        <f>IFERROR(
  INDEX(Campaign!$C$2:$C$100, MATCH(N45, Campaign!$E$2:$E$100, 0)),
  0
)</f>
        <v>0</v>
      </c>
      <c r="S45">
        <f>IFERROR(
  INDEX(Campaign!$C$2:$C$100, MATCH(O45, Campaign!$E$2:$E$100, 0)),
  0
)</f>
        <v>0</v>
      </c>
      <c r="T45" t="str">
        <f t="shared" si="3"/>
        <v/>
      </c>
      <c r="U45">
        <f t="shared" si="1"/>
        <v>9.8558100084817649E-2</v>
      </c>
      <c r="V45" s="40" t="str">
        <f>IFERROR(
  INDEX(Campaign!$A$2:$A$100, MATCH(M49, Campaign!$E$2:$E$100, 0)),
  ""
)</f>
        <v/>
      </c>
      <c r="W45" t="str">
        <f t="shared" si="2"/>
        <v>Before</v>
      </c>
      <c r="X45" s="19"/>
    </row>
    <row r="46" spans="1:24">
      <c r="A46" s="4" t="s">
        <v>94</v>
      </c>
      <c r="B46" s="4" t="s">
        <v>37</v>
      </c>
      <c r="C46" s="5">
        <v>45597</v>
      </c>
      <c r="D46" s="4" t="s">
        <v>57</v>
      </c>
      <c r="E46" s="4" t="s">
        <v>58</v>
      </c>
      <c r="F46" s="6">
        <v>3371</v>
      </c>
      <c r="G46" s="6">
        <v>106</v>
      </c>
      <c r="H46" s="6">
        <v>327</v>
      </c>
      <c r="I46" s="6">
        <v>50565</v>
      </c>
      <c r="J46" s="6">
        <f t="shared" si="0"/>
        <v>3980</v>
      </c>
      <c r="K46" s="6">
        <v>49816</v>
      </c>
      <c r="L46" s="6">
        <v>176</v>
      </c>
      <c r="M46" s="16" t="s">
        <v>16</v>
      </c>
      <c r="N46" s="17"/>
      <c r="O46" s="17"/>
      <c r="P46" s="4" t="s">
        <v>18</v>
      </c>
      <c r="Q46">
        <f>IFERROR(
  INDEX(Campaign!$C$2:$C$100, MATCH(M46, Campaign!$E$2:$E$100, 0)),
  0
)</f>
        <v>0</v>
      </c>
      <c r="R46" s="25">
        <f>IFERROR(
  INDEX(Campaign!$C$2:$C$100, MATCH(N46, Campaign!$E$2:$E$100, 0)),
  0
)</f>
        <v>0</v>
      </c>
      <c r="S46">
        <f>IFERROR(
  INDEX(Campaign!$C$2:$C$100, MATCH(O46, Campaign!$E$2:$E$100, 0)),
  0
)</f>
        <v>0</v>
      </c>
      <c r="T46" t="str">
        <f t="shared" si="3"/>
        <v/>
      </c>
      <c r="U46">
        <f t="shared" si="1"/>
        <v>7.5229902106199939E-2</v>
      </c>
      <c r="V46" s="40" t="str">
        <f>IFERROR(
  INDEX(Campaign!$A$2:$A$100, MATCH(M50, Campaign!$E$2:$E$100, 0)),
  ""
)</f>
        <v/>
      </c>
      <c r="W46" t="str">
        <f t="shared" si="2"/>
        <v>Before</v>
      </c>
      <c r="X46" s="19"/>
    </row>
    <row r="47" spans="1:24">
      <c r="A47" s="4" t="s">
        <v>95</v>
      </c>
      <c r="B47" s="4" t="s">
        <v>13</v>
      </c>
      <c r="C47" s="5">
        <v>45779</v>
      </c>
      <c r="D47" s="4" t="s">
        <v>57</v>
      </c>
      <c r="E47" s="4" t="s">
        <v>96</v>
      </c>
      <c r="F47" s="6">
        <v>1108</v>
      </c>
      <c r="G47" s="6">
        <v>177</v>
      </c>
      <c r="H47" s="6">
        <v>212</v>
      </c>
      <c r="I47" s="6">
        <v>8864</v>
      </c>
      <c r="J47" s="6">
        <f t="shared" si="0"/>
        <v>1594</v>
      </c>
      <c r="K47" s="6">
        <v>8710</v>
      </c>
      <c r="L47" s="6">
        <v>97</v>
      </c>
      <c r="M47" s="16" t="s">
        <v>22</v>
      </c>
      <c r="N47" s="17"/>
      <c r="O47" s="17"/>
      <c r="P47" s="4" t="s">
        <v>34</v>
      </c>
      <c r="Q47">
        <f>IFERROR(
  INDEX(Campaign!$C$2:$C$100, MATCH(M47, Campaign!$E$2:$E$100, 0)),
  0
)</f>
        <v>0</v>
      </c>
      <c r="R47" s="25">
        <f>IFERROR(
  INDEX(Campaign!$C$2:$C$100, MATCH(N47, Campaign!$E$2:$E$100, 0)),
  0
)</f>
        <v>0</v>
      </c>
      <c r="S47">
        <f>IFERROR(
  INDEX(Campaign!$C$2:$C$100, MATCH(O47, Campaign!$E$2:$E$100, 0)),
  0
)</f>
        <v>0</v>
      </c>
      <c r="T47" t="str">
        <f t="shared" si="3"/>
        <v/>
      </c>
      <c r="U47">
        <f t="shared" si="1"/>
        <v>0.16888537906137185</v>
      </c>
      <c r="V47" s="40" t="str">
        <f>IFERROR(
  INDEX(Campaign!$A$2:$A$100, MATCH(M51, Campaign!$E$2:$E$100, 0)),
  ""
)</f>
        <v/>
      </c>
      <c r="W47" t="str">
        <f t="shared" si="2"/>
        <v>Before</v>
      </c>
      <c r="X47" s="19"/>
    </row>
    <row r="48" spans="1:24">
      <c r="A48" s="4" t="s">
        <v>97</v>
      </c>
      <c r="B48" s="4" t="s">
        <v>13</v>
      </c>
      <c r="C48" s="5">
        <v>45712</v>
      </c>
      <c r="D48" s="4" t="s">
        <v>38</v>
      </c>
      <c r="E48" s="4" t="s">
        <v>41</v>
      </c>
      <c r="F48" s="6">
        <v>2704</v>
      </c>
      <c r="G48" s="6">
        <v>752</v>
      </c>
      <c r="H48" s="6">
        <v>153</v>
      </c>
      <c r="I48" s="6">
        <v>21632</v>
      </c>
      <c r="J48" s="6">
        <f t="shared" si="0"/>
        <v>3736</v>
      </c>
      <c r="K48" s="6">
        <v>20792</v>
      </c>
      <c r="L48" s="6">
        <v>127</v>
      </c>
      <c r="M48" s="16" t="s">
        <v>16</v>
      </c>
      <c r="N48" s="17"/>
      <c r="O48" s="17"/>
      <c r="P48" s="7"/>
      <c r="Q48">
        <f>IFERROR(
  INDEX(Campaign!$C$2:$C$100, MATCH(M48, Campaign!$E$2:$E$100, 0)),
  0
)</f>
        <v>0</v>
      </c>
      <c r="R48" s="25">
        <f>IFERROR(
  INDEX(Campaign!$C$2:$C$100, MATCH(N48, Campaign!$E$2:$E$100, 0)),
  0
)</f>
        <v>0</v>
      </c>
      <c r="S48">
        <f>IFERROR(
  INDEX(Campaign!$C$2:$C$100, MATCH(O48, Campaign!$E$2:$E$100, 0)),
  0
)</f>
        <v>0</v>
      </c>
      <c r="T48" t="str">
        <f t="shared" si="3"/>
        <v/>
      </c>
      <c r="U48">
        <f t="shared" si="1"/>
        <v>0.16683616863905326</v>
      </c>
      <c r="V48" s="40" t="str">
        <f>IFERROR(
  INDEX(Campaign!$A$2:$A$100, MATCH(M52, Campaign!$E$2:$E$100, 0)),
  ""
)</f>
        <v/>
      </c>
      <c r="W48" t="str">
        <f t="shared" si="2"/>
        <v>Before</v>
      </c>
      <c r="X48" s="19"/>
    </row>
    <row r="49" spans="1:24">
      <c r="A49" s="4" t="s">
        <v>98</v>
      </c>
      <c r="B49" s="4" t="s">
        <v>13</v>
      </c>
      <c r="C49" s="5">
        <v>45727</v>
      </c>
      <c r="D49" s="4" t="s">
        <v>31</v>
      </c>
      <c r="E49" s="4" t="s">
        <v>99</v>
      </c>
      <c r="F49" s="6">
        <v>1950</v>
      </c>
      <c r="G49" s="6">
        <v>295</v>
      </c>
      <c r="H49" s="6">
        <v>478</v>
      </c>
      <c r="I49" s="6">
        <v>37050</v>
      </c>
      <c r="J49" s="6">
        <f t="shared" si="0"/>
        <v>2842</v>
      </c>
      <c r="K49" s="6">
        <v>36272</v>
      </c>
      <c r="L49" s="6">
        <v>119</v>
      </c>
      <c r="M49" s="16" t="s">
        <v>22</v>
      </c>
      <c r="N49" s="17"/>
      <c r="O49" s="17"/>
      <c r="P49" s="7"/>
      <c r="Q49">
        <f>IFERROR(
  INDEX(Campaign!$C$2:$C$100, MATCH(M49, Campaign!$E$2:$E$100, 0)),
  0
)</f>
        <v>0</v>
      </c>
      <c r="R49" s="25">
        <f>IFERROR(
  INDEX(Campaign!$C$2:$C$100, MATCH(N49, Campaign!$E$2:$E$100, 0)),
  0
)</f>
        <v>0</v>
      </c>
      <c r="S49">
        <f>IFERROR(
  INDEX(Campaign!$C$2:$C$100, MATCH(O49, Campaign!$E$2:$E$100, 0)),
  0
)</f>
        <v>0</v>
      </c>
      <c r="T49" t="str">
        <f t="shared" si="3"/>
        <v/>
      </c>
      <c r="U49">
        <f t="shared" si="1"/>
        <v>7.349527665317139E-2</v>
      </c>
      <c r="V49" s="40" t="str">
        <f>IFERROR(
  INDEX(Campaign!$A$2:$A$100, MATCH(M53, Campaign!$E$2:$E$100, 0)),
  ""
)</f>
        <v/>
      </c>
      <c r="W49" t="str">
        <f t="shared" si="2"/>
        <v>Before</v>
      </c>
      <c r="X49" s="19"/>
    </row>
    <row r="50" spans="1:24">
      <c r="A50" s="4" t="s">
        <v>100</v>
      </c>
      <c r="B50" s="4" t="s">
        <v>13</v>
      </c>
      <c r="C50" s="5">
        <v>45453</v>
      </c>
      <c r="D50" s="4" t="s">
        <v>31</v>
      </c>
      <c r="E50" s="4" t="s">
        <v>99</v>
      </c>
      <c r="F50" s="6">
        <v>2164</v>
      </c>
      <c r="G50" s="6">
        <v>549</v>
      </c>
      <c r="H50" s="6">
        <v>274</v>
      </c>
      <c r="I50" s="6">
        <v>28132</v>
      </c>
      <c r="J50" s="6">
        <f t="shared" si="0"/>
        <v>3164</v>
      </c>
      <c r="K50" s="6">
        <v>27361</v>
      </c>
      <c r="L50" s="6">
        <v>177</v>
      </c>
      <c r="M50" s="16" t="s">
        <v>22</v>
      </c>
      <c r="N50" s="17"/>
      <c r="O50" s="17"/>
      <c r="P50" s="4" t="s">
        <v>34</v>
      </c>
      <c r="Q50">
        <f>IFERROR(
  INDEX(Campaign!$C$2:$C$100, MATCH(M50, Campaign!$E$2:$E$100, 0)),
  0
)</f>
        <v>0</v>
      </c>
      <c r="R50" s="25">
        <f>IFERROR(
  INDEX(Campaign!$C$2:$C$100, MATCH(N50, Campaign!$E$2:$E$100, 0)),
  0
)</f>
        <v>0</v>
      </c>
      <c r="S50">
        <f>IFERROR(
  INDEX(Campaign!$C$2:$C$100, MATCH(O50, Campaign!$E$2:$E$100, 0)),
  0
)</f>
        <v>0</v>
      </c>
      <c r="T50" t="str">
        <f t="shared" si="3"/>
        <v/>
      </c>
      <c r="U50">
        <f t="shared" si="1"/>
        <v>0.10617801791554102</v>
      </c>
      <c r="V50" s="40">
        <f>IFERROR(
  INDEX(Campaign!$A$2:$A$100, MATCH(M54, Campaign!$E$2:$E$100, 0)),
  ""
)</f>
        <v>45488</v>
      </c>
      <c r="W50" t="str">
        <f t="shared" si="2"/>
        <v>Before</v>
      </c>
      <c r="X50" s="19"/>
    </row>
    <row r="51" spans="1:24">
      <c r="A51" s="4" t="s">
        <v>101</v>
      </c>
      <c r="B51" s="4" t="s">
        <v>26</v>
      </c>
      <c r="C51" s="5">
        <v>45476</v>
      </c>
      <c r="D51" s="4" t="s">
        <v>31</v>
      </c>
      <c r="E51" s="4" t="s">
        <v>102</v>
      </c>
      <c r="F51" s="6">
        <v>2754</v>
      </c>
      <c r="G51" s="6">
        <v>130</v>
      </c>
      <c r="H51" s="6">
        <v>90</v>
      </c>
      <c r="I51" s="6">
        <v>22032</v>
      </c>
      <c r="J51" s="6">
        <f t="shared" si="0"/>
        <v>3086</v>
      </c>
      <c r="K51" s="6">
        <v>21288</v>
      </c>
      <c r="L51" s="6">
        <v>112</v>
      </c>
      <c r="M51" s="16" t="s">
        <v>22</v>
      </c>
      <c r="N51" s="17"/>
      <c r="O51" s="17"/>
      <c r="P51" s="4" t="s">
        <v>28</v>
      </c>
      <c r="Q51">
        <f>IFERROR(
  INDEX(Campaign!$C$2:$C$100, MATCH(M51, Campaign!$E$2:$E$100, 0)),
  0
)</f>
        <v>0</v>
      </c>
      <c r="R51" s="25">
        <f>IFERROR(
  INDEX(Campaign!$C$2:$C$100, MATCH(N51, Campaign!$E$2:$E$100, 0)),
  0
)</f>
        <v>0</v>
      </c>
      <c r="S51">
        <f>IFERROR(
  INDEX(Campaign!$C$2:$C$100, MATCH(O51, Campaign!$E$2:$E$100, 0)),
  0
)</f>
        <v>0</v>
      </c>
      <c r="T51" t="str">
        <f t="shared" si="3"/>
        <v/>
      </c>
      <c r="U51">
        <f t="shared" si="1"/>
        <v>0.13498547567175018</v>
      </c>
      <c r="V51" s="40" t="str">
        <f>IFERROR(
  INDEX(Campaign!$A$2:$A$100, MATCH(M55, Campaign!$E$2:$E$100, 0)),
  ""
)</f>
        <v/>
      </c>
      <c r="W51" t="str">
        <f t="shared" si="2"/>
        <v>Before</v>
      </c>
      <c r="X51" s="19"/>
    </row>
    <row r="52" spans="1:24">
      <c r="A52" s="4" t="s">
        <v>103</v>
      </c>
      <c r="B52" s="4" t="s">
        <v>37</v>
      </c>
      <c r="C52" s="5">
        <v>45456</v>
      </c>
      <c r="D52" s="4" t="s">
        <v>38</v>
      </c>
      <c r="E52" s="4" t="s">
        <v>39</v>
      </c>
      <c r="F52" s="6">
        <v>2200</v>
      </c>
      <c r="G52" s="6">
        <v>504</v>
      </c>
      <c r="H52" s="6">
        <v>239</v>
      </c>
      <c r="I52" s="6">
        <v>37400</v>
      </c>
      <c r="J52" s="6">
        <f t="shared" si="0"/>
        <v>3168</v>
      </c>
      <c r="K52" s="6">
        <v>36938</v>
      </c>
      <c r="L52" s="6">
        <v>225</v>
      </c>
      <c r="M52" s="16" t="s">
        <v>16</v>
      </c>
      <c r="N52" s="17"/>
      <c r="O52" s="17"/>
      <c r="P52" s="4" t="s">
        <v>24</v>
      </c>
      <c r="Q52">
        <f>IFERROR(
  INDEX(Campaign!$C$2:$C$100, MATCH(M52, Campaign!$E$2:$E$100, 0)),
  0
)</f>
        <v>0</v>
      </c>
      <c r="R52" s="25">
        <f>IFERROR(
  INDEX(Campaign!$C$2:$C$100, MATCH(N52, Campaign!$E$2:$E$100, 0)),
  0
)</f>
        <v>0</v>
      </c>
      <c r="S52">
        <f>IFERROR(
  INDEX(Campaign!$C$2:$C$100, MATCH(O52, Campaign!$E$2:$E$100, 0)),
  0
)</f>
        <v>0</v>
      </c>
      <c r="T52" t="str">
        <f t="shared" si="3"/>
        <v/>
      </c>
      <c r="U52">
        <f t="shared" si="1"/>
        <v>7.8689839572192513E-2</v>
      </c>
      <c r="V52" s="40">
        <f>IFERROR(
  INDEX(Campaign!$A$2:$A$100, MATCH(M56, Campaign!$E$2:$E$100, 0)),
  ""
)</f>
        <v>45488</v>
      </c>
      <c r="W52" t="str">
        <f t="shared" si="2"/>
        <v>Before</v>
      </c>
      <c r="X52" s="19"/>
    </row>
    <row r="53" spans="1:24">
      <c r="A53" s="4" t="s">
        <v>104</v>
      </c>
      <c r="B53" s="4" t="s">
        <v>37</v>
      </c>
      <c r="C53" s="5">
        <v>45660</v>
      </c>
      <c r="D53" s="4" t="s">
        <v>43</v>
      </c>
      <c r="E53" s="4" t="s">
        <v>48</v>
      </c>
      <c r="F53" s="6">
        <v>947</v>
      </c>
      <c r="G53" s="6">
        <v>338</v>
      </c>
      <c r="H53" s="6">
        <v>350</v>
      </c>
      <c r="I53" s="6">
        <v>10417</v>
      </c>
      <c r="J53" s="6">
        <f t="shared" si="0"/>
        <v>1669</v>
      </c>
      <c r="K53" s="6">
        <v>9730</v>
      </c>
      <c r="L53" s="6">
        <v>34</v>
      </c>
      <c r="M53" s="16" t="s">
        <v>22</v>
      </c>
      <c r="N53" s="17"/>
      <c r="O53" s="17"/>
      <c r="P53" s="4" t="s">
        <v>34</v>
      </c>
      <c r="Q53">
        <f>IFERROR(
  INDEX(Campaign!$C$2:$C$100, MATCH(M53, Campaign!$E$2:$E$100, 0)),
  0
)</f>
        <v>0</v>
      </c>
      <c r="R53" s="25">
        <f>IFERROR(
  INDEX(Campaign!$C$2:$C$100, MATCH(N53, Campaign!$E$2:$E$100, 0)),
  0
)</f>
        <v>0</v>
      </c>
      <c r="S53">
        <f>IFERROR(
  INDEX(Campaign!$C$2:$C$100, MATCH(O53, Campaign!$E$2:$E$100, 0)),
  0
)</f>
        <v>0</v>
      </c>
      <c r="T53" t="str">
        <f t="shared" si="3"/>
        <v/>
      </c>
      <c r="U53">
        <f t="shared" si="1"/>
        <v>0.1569549774407219</v>
      </c>
      <c r="V53" s="40" t="str">
        <f>IFERROR(
  INDEX(Campaign!$A$2:$A$100, MATCH(M57, Campaign!$E$2:$E$100, 0)),
  ""
)</f>
        <v/>
      </c>
      <c r="W53" t="str">
        <f t="shared" si="2"/>
        <v>Before</v>
      </c>
      <c r="X53" s="19"/>
    </row>
    <row r="54" spans="1:24">
      <c r="A54" s="4" t="s">
        <v>105</v>
      </c>
      <c r="B54" s="4" t="s">
        <v>26</v>
      </c>
      <c r="C54" s="5">
        <v>45712</v>
      </c>
      <c r="D54" s="4" t="s">
        <v>38</v>
      </c>
      <c r="E54" s="4" t="s">
        <v>53</v>
      </c>
      <c r="F54" s="6">
        <v>804</v>
      </c>
      <c r="G54" s="6">
        <v>639</v>
      </c>
      <c r="H54" s="6">
        <v>43</v>
      </c>
      <c r="I54" s="6">
        <v>4020</v>
      </c>
      <c r="J54" s="6">
        <f t="shared" si="0"/>
        <v>1497</v>
      </c>
      <c r="K54" s="6">
        <v>3144</v>
      </c>
      <c r="L54" s="6">
        <v>11</v>
      </c>
      <c r="M54" s="16" t="s">
        <v>33</v>
      </c>
      <c r="N54" s="17" t="s">
        <v>23</v>
      </c>
      <c r="O54" s="17"/>
      <c r="P54" s="7"/>
      <c r="Q54">
        <f>IFERROR(
  INDEX(Campaign!$C$2:$C$100, MATCH(M54, Campaign!$E$2:$E$100, 0)),
  0
)</f>
        <v>150000</v>
      </c>
      <c r="R54" s="25">
        <f>IFERROR(
  INDEX(Campaign!$C$2:$C$100, MATCH(N54, Campaign!$E$2:$E$100, 0)),
  0
)</f>
        <v>180000</v>
      </c>
      <c r="S54">
        <f>IFERROR(
  INDEX(Campaign!$C$2:$C$100, MATCH(O54, Campaign!$E$2:$E$100, 0)),
  0
)</f>
        <v>0</v>
      </c>
      <c r="T54">
        <f t="shared" si="3"/>
        <v>4.5363636363636361E-3</v>
      </c>
      <c r="U54">
        <f t="shared" si="1"/>
        <v>0.36965174129353234</v>
      </c>
      <c r="V54" s="40" t="str">
        <f>IFERROR(
  INDEX(Campaign!$A$2:$A$100, MATCH(M58, Campaign!$E$2:$E$100, 0)),
  ""
)</f>
        <v/>
      </c>
      <c r="W54" t="str">
        <f t="shared" si="2"/>
        <v>Before</v>
      </c>
      <c r="X54" s="19"/>
    </row>
    <row r="55" spans="1:24">
      <c r="A55" s="4" t="s">
        <v>106</v>
      </c>
      <c r="B55" s="4" t="s">
        <v>26</v>
      </c>
      <c r="C55" s="5">
        <v>45729</v>
      </c>
      <c r="D55" s="4" t="s">
        <v>38</v>
      </c>
      <c r="E55" s="4" t="s">
        <v>53</v>
      </c>
      <c r="F55" s="6">
        <v>1686</v>
      </c>
      <c r="G55" s="6">
        <v>904</v>
      </c>
      <c r="H55" s="6">
        <v>472</v>
      </c>
      <c r="I55" s="6">
        <v>18546</v>
      </c>
      <c r="J55" s="6">
        <f t="shared" si="0"/>
        <v>3114</v>
      </c>
      <c r="K55" s="6">
        <v>18171</v>
      </c>
      <c r="L55" s="6">
        <v>52</v>
      </c>
      <c r="M55" s="16" t="s">
        <v>16</v>
      </c>
      <c r="N55" s="17"/>
      <c r="O55" s="17"/>
      <c r="P55" s="4" t="s">
        <v>24</v>
      </c>
      <c r="Q55">
        <f>IFERROR(
  INDEX(Campaign!$C$2:$C$100, MATCH(M55, Campaign!$E$2:$E$100, 0)),
  0
)</f>
        <v>0</v>
      </c>
      <c r="R55" s="25">
        <f>IFERROR(
  INDEX(Campaign!$C$2:$C$100, MATCH(N55, Campaign!$E$2:$E$100, 0)),
  0
)</f>
        <v>0</v>
      </c>
      <c r="S55">
        <f>IFERROR(
  INDEX(Campaign!$C$2:$C$100, MATCH(O55, Campaign!$E$2:$E$100, 0)),
  0
)</f>
        <v>0</v>
      </c>
      <c r="T55" t="str">
        <f t="shared" si="3"/>
        <v/>
      </c>
      <c r="U55">
        <f t="shared" si="1"/>
        <v>0.16510298716704411</v>
      </c>
      <c r="V55" s="40" t="str">
        <f>IFERROR(
  INDEX(Campaign!$A$2:$A$100, MATCH(M59, Campaign!$E$2:$E$100, 0)),
  ""
)</f>
        <v/>
      </c>
      <c r="W55" t="str">
        <f t="shared" si="2"/>
        <v>Before</v>
      </c>
      <c r="X55" s="19"/>
    </row>
    <row r="56" spans="1:24">
      <c r="A56" s="4" t="s">
        <v>107</v>
      </c>
      <c r="B56" s="4" t="s">
        <v>37</v>
      </c>
      <c r="C56" s="5">
        <v>45460</v>
      </c>
      <c r="D56" s="4" t="s">
        <v>43</v>
      </c>
      <c r="E56" s="4" t="s">
        <v>48</v>
      </c>
      <c r="F56" s="6">
        <v>1226</v>
      </c>
      <c r="G56" s="6">
        <v>119</v>
      </c>
      <c r="H56" s="6">
        <v>7</v>
      </c>
      <c r="I56" s="6">
        <v>14712</v>
      </c>
      <c r="J56" s="6">
        <f t="shared" si="0"/>
        <v>1475</v>
      </c>
      <c r="K56" s="6">
        <v>14049</v>
      </c>
      <c r="L56" s="6">
        <v>123</v>
      </c>
      <c r="M56" s="16" t="s">
        <v>33</v>
      </c>
      <c r="N56" s="17"/>
      <c r="O56" s="17"/>
      <c r="P56" s="4" t="s">
        <v>34</v>
      </c>
      <c r="Q56">
        <f>IFERROR(
  INDEX(Campaign!$C$2:$C$100, MATCH(M56, Campaign!$E$2:$E$100, 0)),
  0
)</f>
        <v>150000</v>
      </c>
      <c r="R56" s="25">
        <f>IFERROR(
  INDEX(Campaign!$C$2:$C$100, MATCH(N56, Campaign!$E$2:$E$100, 0)),
  0
)</f>
        <v>0</v>
      </c>
      <c r="S56">
        <f>IFERROR(
  INDEX(Campaign!$C$2:$C$100, MATCH(O56, Campaign!$E$2:$E$100, 0)),
  0
)</f>
        <v>0</v>
      </c>
      <c r="T56">
        <f t="shared" si="3"/>
        <v>9.8333333333333328E-3</v>
      </c>
      <c r="U56">
        <f t="shared" si="1"/>
        <v>9.1897770527460579E-2</v>
      </c>
      <c r="V56" s="40">
        <f>IFERROR(
  INDEX(Campaign!$A$2:$A$100, MATCH(M60, Campaign!$E$2:$E$100, 0)),
  ""
)</f>
        <v>45488</v>
      </c>
      <c r="W56" t="str">
        <f t="shared" si="2"/>
        <v>Before</v>
      </c>
      <c r="X56" s="19"/>
    </row>
    <row r="57" spans="1:24">
      <c r="A57" s="4" t="s">
        <v>108</v>
      </c>
      <c r="B57" s="4" t="s">
        <v>37</v>
      </c>
      <c r="C57" s="5">
        <v>45644</v>
      </c>
      <c r="D57" s="4" t="s">
        <v>38</v>
      </c>
      <c r="E57" s="4" t="s">
        <v>39</v>
      </c>
      <c r="F57" s="6">
        <v>2946</v>
      </c>
      <c r="G57" s="6">
        <v>498</v>
      </c>
      <c r="H57" s="6">
        <v>367</v>
      </c>
      <c r="I57" s="6">
        <v>29460</v>
      </c>
      <c r="J57" s="6">
        <f t="shared" si="0"/>
        <v>3871</v>
      </c>
      <c r="K57" s="6">
        <v>28527</v>
      </c>
      <c r="L57" s="6">
        <v>60</v>
      </c>
      <c r="M57" s="16" t="s">
        <v>16</v>
      </c>
      <c r="N57" s="17"/>
      <c r="O57" s="17"/>
      <c r="P57" s="4" t="s">
        <v>28</v>
      </c>
      <c r="Q57">
        <f>IFERROR(
  INDEX(Campaign!$C$2:$C$100, MATCH(M57, Campaign!$E$2:$E$100, 0)),
  0
)</f>
        <v>0</v>
      </c>
      <c r="R57" s="25">
        <f>IFERROR(
  INDEX(Campaign!$C$2:$C$100, MATCH(N57, Campaign!$E$2:$E$100, 0)),
  0
)</f>
        <v>0</v>
      </c>
      <c r="S57">
        <f>IFERROR(
  INDEX(Campaign!$C$2:$C$100, MATCH(O57, Campaign!$E$2:$E$100, 0)),
  0
)</f>
        <v>0</v>
      </c>
      <c r="T57" t="str">
        <f t="shared" si="3"/>
        <v/>
      </c>
      <c r="U57">
        <f t="shared" si="1"/>
        <v>0.12936184657162253</v>
      </c>
      <c r="V57" s="40">
        <f>IFERROR(
  INDEX(Campaign!$A$2:$A$100, MATCH(M61, Campaign!$E$2:$E$100, 0)),
  ""
)</f>
        <v>45488</v>
      </c>
      <c r="W57" t="str">
        <f t="shared" si="2"/>
        <v>Before</v>
      </c>
      <c r="X57" s="19"/>
    </row>
    <row r="58" spans="1:24">
      <c r="A58" s="4" t="s">
        <v>109</v>
      </c>
      <c r="B58" s="4" t="s">
        <v>13</v>
      </c>
      <c r="C58" s="5">
        <v>45586</v>
      </c>
      <c r="D58" s="4" t="s">
        <v>57</v>
      </c>
      <c r="E58" s="4" t="s">
        <v>96</v>
      </c>
      <c r="F58" s="6">
        <v>2825</v>
      </c>
      <c r="G58" s="6">
        <v>535</v>
      </c>
      <c r="H58" s="6">
        <v>295</v>
      </c>
      <c r="I58" s="6">
        <v>45200</v>
      </c>
      <c r="J58" s="6">
        <f t="shared" si="0"/>
        <v>3824</v>
      </c>
      <c r="K58" s="6">
        <v>44739</v>
      </c>
      <c r="L58" s="6">
        <v>169</v>
      </c>
      <c r="M58" s="16" t="s">
        <v>22</v>
      </c>
      <c r="N58" s="17"/>
      <c r="O58" s="17"/>
      <c r="P58" s="4" t="s">
        <v>18</v>
      </c>
      <c r="Q58">
        <f>IFERROR(
  INDEX(Campaign!$C$2:$C$100, MATCH(M58, Campaign!$E$2:$E$100, 0)),
  0
)</f>
        <v>0</v>
      </c>
      <c r="R58" s="25">
        <f>IFERROR(
  INDEX(Campaign!$C$2:$C$100, MATCH(N58, Campaign!$E$2:$E$100, 0)),
  0
)</f>
        <v>0</v>
      </c>
      <c r="S58">
        <f>IFERROR(
  INDEX(Campaign!$C$2:$C$100, MATCH(O58, Campaign!$E$2:$E$100, 0)),
  0
)</f>
        <v>0</v>
      </c>
      <c r="T58" t="str">
        <f t="shared" si="3"/>
        <v/>
      </c>
      <c r="U58">
        <f t="shared" si="1"/>
        <v>8.0862831858407078E-2</v>
      </c>
      <c r="V58" s="40" t="str">
        <f>IFERROR(
  INDEX(Campaign!$A$2:$A$100, MATCH(M62, Campaign!$E$2:$E$100, 0)),
  ""
)</f>
        <v/>
      </c>
      <c r="W58" t="str">
        <f t="shared" si="2"/>
        <v>Before</v>
      </c>
      <c r="X58" s="19"/>
    </row>
    <row r="59" spans="1:24">
      <c r="A59" s="4" t="s">
        <v>110</v>
      </c>
      <c r="B59" s="4" t="s">
        <v>30</v>
      </c>
      <c r="C59" s="5">
        <v>45762</v>
      </c>
      <c r="D59" s="4" t="s">
        <v>14</v>
      </c>
      <c r="E59" s="4" t="s">
        <v>62</v>
      </c>
      <c r="F59" s="6">
        <v>103</v>
      </c>
      <c r="G59" s="6">
        <v>770</v>
      </c>
      <c r="H59" s="6">
        <v>19</v>
      </c>
      <c r="I59" s="6">
        <v>1030</v>
      </c>
      <c r="J59" s="6">
        <f t="shared" si="0"/>
        <v>1154</v>
      </c>
      <c r="K59" s="6">
        <v>410</v>
      </c>
      <c r="L59" s="6">
        <v>262</v>
      </c>
      <c r="M59" s="16" t="s">
        <v>22</v>
      </c>
      <c r="N59" s="17"/>
      <c r="O59" s="17"/>
      <c r="P59" s="4" t="s">
        <v>34</v>
      </c>
      <c r="Q59">
        <f>IFERROR(
  INDEX(Campaign!$C$2:$C$100, MATCH(M59, Campaign!$E$2:$E$100, 0)),
  0
)</f>
        <v>0</v>
      </c>
      <c r="R59" s="25">
        <f>IFERROR(
  INDEX(Campaign!$C$2:$C$100, MATCH(N59, Campaign!$E$2:$E$100, 0)),
  0
)</f>
        <v>0</v>
      </c>
      <c r="S59">
        <f>IFERROR(
  INDEX(Campaign!$C$2:$C$100, MATCH(O59, Campaign!$E$2:$E$100, 0)),
  0
)</f>
        <v>0</v>
      </c>
      <c r="T59" t="str">
        <f t="shared" si="3"/>
        <v/>
      </c>
      <c r="U59">
        <f t="shared" si="1"/>
        <v>0.86601941747572819</v>
      </c>
      <c r="V59" s="40" t="str">
        <f>IFERROR(
  INDEX(Campaign!$A$2:$A$100, MATCH(M63, Campaign!$E$2:$E$100, 0)),
  ""
)</f>
        <v/>
      </c>
      <c r="W59" t="str">
        <f t="shared" si="2"/>
        <v>Before</v>
      </c>
      <c r="X59" s="19"/>
    </row>
    <row r="60" spans="1:24">
      <c r="A60" s="4" t="s">
        <v>111</v>
      </c>
      <c r="B60" s="4" t="s">
        <v>30</v>
      </c>
      <c r="C60" s="5">
        <v>45465</v>
      </c>
      <c r="D60" s="4" t="s">
        <v>20</v>
      </c>
      <c r="E60" s="4" t="s">
        <v>79</v>
      </c>
      <c r="F60" s="6">
        <v>2180</v>
      </c>
      <c r="G60" s="6">
        <v>263</v>
      </c>
      <c r="H60" s="6">
        <v>387</v>
      </c>
      <c r="I60" s="6">
        <v>30520</v>
      </c>
      <c r="J60" s="6">
        <f t="shared" si="0"/>
        <v>3004</v>
      </c>
      <c r="K60" s="6">
        <v>30059</v>
      </c>
      <c r="L60" s="6">
        <v>174</v>
      </c>
      <c r="M60" s="16" t="s">
        <v>33</v>
      </c>
      <c r="N60" s="17"/>
      <c r="O60" s="17"/>
      <c r="P60" s="7"/>
      <c r="Q60">
        <f>IFERROR(
  INDEX(Campaign!$C$2:$C$100, MATCH(M60, Campaign!$E$2:$E$100, 0)),
  0
)</f>
        <v>150000</v>
      </c>
      <c r="R60" s="25">
        <f>IFERROR(
  INDEX(Campaign!$C$2:$C$100, MATCH(N60, Campaign!$E$2:$E$100, 0)),
  0
)</f>
        <v>0</v>
      </c>
      <c r="S60">
        <f>IFERROR(
  INDEX(Campaign!$C$2:$C$100, MATCH(O60, Campaign!$E$2:$E$100, 0)),
  0
)</f>
        <v>0</v>
      </c>
      <c r="T60">
        <f t="shared" si="3"/>
        <v>2.0026666666666668E-2</v>
      </c>
      <c r="U60">
        <f t="shared" si="1"/>
        <v>9.2726081258191345E-2</v>
      </c>
      <c r="V60" s="40" t="str">
        <f>IFERROR(
  INDEX(Campaign!$A$2:$A$100, MATCH(M64, Campaign!$E$2:$E$100, 0)),
  ""
)</f>
        <v/>
      </c>
      <c r="W60" t="str">
        <f t="shared" si="2"/>
        <v>Before</v>
      </c>
      <c r="X60" s="19"/>
    </row>
    <row r="61" spans="1:24">
      <c r="A61" s="4" t="s">
        <v>112</v>
      </c>
      <c r="B61" s="4" t="s">
        <v>30</v>
      </c>
      <c r="C61" s="5">
        <v>45685</v>
      </c>
      <c r="D61" s="4" t="s">
        <v>57</v>
      </c>
      <c r="E61" s="4" t="s">
        <v>64</v>
      </c>
      <c r="F61" s="6">
        <v>904</v>
      </c>
      <c r="G61" s="6">
        <v>973</v>
      </c>
      <c r="H61" s="6">
        <v>63</v>
      </c>
      <c r="I61" s="6">
        <v>11752</v>
      </c>
      <c r="J61" s="6">
        <f t="shared" si="0"/>
        <v>2024</v>
      </c>
      <c r="K61" s="6">
        <v>11580</v>
      </c>
      <c r="L61" s="6">
        <v>84</v>
      </c>
      <c r="M61" s="16" t="s">
        <v>33</v>
      </c>
      <c r="N61" s="17" t="s">
        <v>22</v>
      </c>
      <c r="O61" s="17" t="s">
        <v>17</v>
      </c>
      <c r="P61" s="4" t="s">
        <v>28</v>
      </c>
      <c r="Q61">
        <f>IFERROR(
  INDEX(Campaign!$C$2:$C$100, MATCH(M61, Campaign!$E$2:$E$100, 0)),
  0
)</f>
        <v>150000</v>
      </c>
      <c r="R61" s="25">
        <f>IFERROR(
  INDEX(Campaign!$C$2:$C$100, MATCH(N61, Campaign!$E$2:$E$100, 0)),
  0
)</f>
        <v>0</v>
      </c>
      <c r="S61">
        <f>IFERROR(
  INDEX(Campaign!$C$2:$C$100, MATCH(O61, Campaign!$E$2:$E$100, 0)),
  0
)</f>
        <v>200000</v>
      </c>
      <c r="T61">
        <f t="shared" si="3"/>
        <v>5.7828571428571425E-3</v>
      </c>
      <c r="U61">
        <f t="shared" si="1"/>
        <v>0.1650782845473111</v>
      </c>
      <c r="V61" s="40" t="str">
        <f>IFERROR(
  INDEX(Campaign!$A$2:$A$100, MATCH(M65, Campaign!$E$2:$E$100, 0)),
  ""
)</f>
        <v/>
      </c>
      <c r="W61" t="str">
        <f t="shared" si="2"/>
        <v>During</v>
      </c>
      <c r="X61" s="19"/>
    </row>
    <row r="62" spans="1:24">
      <c r="A62" s="4" t="s">
        <v>113</v>
      </c>
      <c r="B62" s="4" t="s">
        <v>13</v>
      </c>
      <c r="C62" s="5">
        <v>45540</v>
      </c>
      <c r="D62" s="4" t="s">
        <v>57</v>
      </c>
      <c r="E62" s="4" t="s">
        <v>96</v>
      </c>
      <c r="F62" s="6">
        <v>4886</v>
      </c>
      <c r="G62" s="6">
        <v>983</v>
      </c>
      <c r="H62" s="6">
        <v>409</v>
      </c>
      <c r="I62" s="6">
        <v>43974</v>
      </c>
      <c r="J62" s="6">
        <f t="shared" si="0"/>
        <v>6343</v>
      </c>
      <c r="K62" s="6">
        <v>43239</v>
      </c>
      <c r="L62" s="6">
        <v>65</v>
      </c>
      <c r="M62" s="16" t="s">
        <v>22</v>
      </c>
      <c r="N62" s="17"/>
      <c r="O62" s="17"/>
      <c r="P62" s="4" t="s">
        <v>18</v>
      </c>
      <c r="Q62">
        <f>IFERROR(
  INDEX(Campaign!$C$2:$C$100, MATCH(M62, Campaign!$E$2:$E$100, 0)),
  0
)</f>
        <v>0</v>
      </c>
      <c r="R62" s="25">
        <f>IFERROR(
  INDEX(Campaign!$C$2:$C$100, MATCH(N62, Campaign!$E$2:$E$100, 0)),
  0
)</f>
        <v>0</v>
      </c>
      <c r="S62">
        <f>IFERROR(
  INDEX(Campaign!$C$2:$C$100, MATCH(O62, Campaign!$E$2:$E$100, 0)),
  0
)</f>
        <v>0</v>
      </c>
      <c r="T62" t="str">
        <f t="shared" si="3"/>
        <v/>
      </c>
      <c r="U62">
        <f t="shared" si="1"/>
        <v>0.14276618001546368</v>
      </c>
      <c r="V62" s="40">
        <f>IFERROR(
  INDEX(Campaign!$A$2:$A$100, MATCH(M66, Campaign!$E$2:$E$100, 0)),
  ""
)</f>
        <v>45488</v>
      </c>
      <c r="W62" t="str">
        <f t="shared" si="2"/>
        <v>Before</v>
      </c>
      <c r="X62" s="19"/>
    </row>
    <row r="63" spans="1:24">
      <c r="A63" s="4" t="s">
        <v>114</v>
      </c>
      <c r="B63" s="4" t="s">
        <v>13</v>
      </c>
      <c r="C63" s="5">
        <v>45618</v>
      </c>
      <c r="D63" s="4" t="s">
        <v>38</v>
      </c>
      <c r="E63" s="4" t="s">
        <v>41</v>
      </c>
      <c r="F63" s="6">
        <v>53</v>
      </c>
      <c r="G63" s="6">
        <v>81</v>
      </c>
      <c r="H63" s="6">
        <v>379</v>
      </c>
      <c r="I63" s="6">
        <v>954</v>
      </c>
      <c r="J63" s="6">
        <f t="shared" si="0"/>
        <v>661</v>
      </c>
      <c r="K63" s="6">
        <v>7</v>
      </c>
      <c r="L63" s="6">
        <v>148</v>
      </c>
      <c r="M63" s="16" t="s">
        <v>22</v>
      </c>
      <c r="N63" s="17"/>
      <c r="O63" s="17"/>
      <c r="P63" s="4" t="s">
        <v>28</v>
      </c>
      <c r="Q63">
        <f>IFERROR(
  INDEX(Campaign!$C$2:$C$100, MATCH(M63, Campaign!$E$2:$E$100, 0)),
  0
)</f>
        <v>0</v>
      </c>
      <c r="R63" s="25">
        <f>IFERROR(
  INDEX(Campaign!$C$2:$C$100, MATCH(N63, Campaign!$E$2:$E$100, 0)),
  0
)</f>
        <v>0</v>
      </c>
      <c r="S63">
        <f>IFERROR(
  INDEX(Campaign!$C$2:$C$100, MATCH(O63, Campaign!$E$2:$E$100, 0)),
  0
)</f>
        <v>0</v>
      </c>
      <c r="T63" t="str">
        <f t="shared" si="3"/>
        <v/>
      </c>
      <c r="U63">
        <f t="shared" si="1"/>
        <v>0.53773584905660377</v>
      </c>
      <c r="V63" s="40">
        <f>IFERROR(
  INDEX(Campaign!$A$2:$A$100, MATCH(M67, Campaign!$E$2:$E$100, 0)),
  ""
)</f>
        <v>45488</v>
      </c>
      <c r="W63" t="str">
        <f t="shared" si="2"/>
        <v>Before</v>
      </c>
      <c r="X63" s="19"/>
    </row>
    <row r="64" spans="1:24">
      <c r="A64" s="4" t="s">
        <v>115</v>
      </c>
      <c r="B64" s="4" t="s">
        <v>13</v>
      </c>
      <c r="C64" s="5">
        <v>45504</v>
      </c>
      <c r="D64" s="4" t="s">
        <v>38</v>
      </c>
      <c r="E64" s="4" t="s">
        <v>41</v>
      </c>
      <c r="F64" s="6">
        <v>4507</v>
      </c>
      <c r="G64" s="6">
        <v>217</v>
      </c>
      <c r="H64" s="6">
        <v>13</v>
      </c>
      <c r="I64" s="6">
        <v>90140</v>
      </c>
      <c r="J64" s="6">
        <f t="shared" si="0"/>
        <v>4862</v>
      </c>
      <c r="K64" s="6">
        <v>89591</v>
      </c>
      <c r="L64" s="6">
        <v>125</v>
      </c>
      <c r="M64" s="16" t="s">
        <v>16</v>
      </c>
      <c r="N64" s="17"/>
      <c r="O64" s="17"/>
      <c r="P64" s="4" t="s">
        <v>28</v>
      </c>
      <c r="Q64">
        <f>IFERROR(
  INDEX(Campaign!$C$2:$C$100, MATCH(M64, Campaign!$E$2:$E$100, 0)),
  0
)</f>
        <v>0</v>
      </c>
      <c r="R64" s="25">
        <f>IFERROR(
  INDEX(Campaign!$C$2:$C$100, MATCH(N64, Campaign!$E$2:$E$100, 0)),
  0
)</f>
        <v>0</v>
      </c>
      <c r="S64">
        <f>IFERROR(
  INDEX(Campaign!$C$2:$C$100, MATCH(O64, Campaign!$E$2:$E$100, 0)),
  0
)</f>
        <v>0</v>
      </c>
      <c r="T64" t="str">
        <f t="shared" si="3"/>
        <v/>
      </c>
      <c r="U64">
        <f t="shared" si="1"/>
        <v>5.2551586421122697E-2</v>
      </c>
      <c r="V64" s="40">
        <f>IFERROR(
  INDEX(Campaign!$A$2:$A$100, MATCH(M68, Campaign!$E$2:$E$100, 0)),
  ""
)</f>
        <v>45488</v>
      </c>
      <c r="W64" t="str">
        <f t="shared" si="2"/>
        <v>Before</v>
      </c>
      <c r="X64" s="19"/>
    </row>
    <row r="65" spans="1:24">
      <c r="A65" s="4" t="s">
        <v>116</v>
      </c>
      <c r="B65" s="4" t="s">
        <v>37</v>
      </c>
      <c r="C65" s="5">
        <v>45521</v>
      </c>
      <c r="D65" s="4" t="s">
        <v>43</v>
      </c>
      <c r="E65" s="4" t="s">
        <v>48</v>
      </c>
      <c r="F65" s="6">
        <v>2878</v>
      </c>
      <c r="G65" s="6">
        <v>248</v>
      </c>
      <c r="H65" s="6">
        <v>416</v>
      </c>
      <c r="I65" s="6">
        <v>43170</v>
      </c>
      <c r="J65" s="6">
        <f t="shared" si="0"/>
        <v>3617</v>
      </c>
      <c r="K65" s="6">
        <v>42667</v>
      </c>
      <c r="L65" s="6">
        <v>75</v>
      </c>
      <c r="M65" s="16" t="s">
        <v>16</v>
      </c>
      <c r="N65" s="17"/>
      <c r="O65" s="17"/>
      <c r="P65" s="4" t="s">
        <v>28</v>
      </c>
      <c r="Q65">
        <f>IFERROR(
  INDEX(Campaign!$C$2:$C$100, MATCH(M65, Campaign!$E$2:$E$100, 0)),
  0
)</f>
        <v>0</v>
      </c>
      <c r="R65" s="25">
        <f>IFERROR(
  INDEX(Campaign!$C$2:$C$100, MATCH(N65, Campaign!$E$2:$E$100, 0)),
  0
)</f>
        <v>0</v>
      </c>
      <c r="S65">
        <f>IFERROR(
  INDEX(Campaign!$C$2:$C$100, MATCH(O65, Campaign!$E$2:$E$100, 0)),
  0
)</f>
        <v>0</v>
      </c>
      <c r="T65" t="str">
        <f t="shared" si="3"/>
        <v/>
      </c>
      <c r="U65">
        <f t="shared" si="1"/>
        <v>8.2047718322909427E-2</v>
      </c>
      <c r="V65" s="40">
        <f>IFERROR(
  INDEX(Campaign!$A$2:$A$100, MATCH(M69, Campaign!$E$2:$E$100, 0)),
  ""
)</f>
        <v>45488</v>
      </c>
      <c r="W65" t="str">
        <f t="shared" si="2"/>
        <v>Before</v>
      </c>
      <c r="X65" s="19"/>
    </row>
    <row r="66" spans="1:24">
      <c r="A66" s="4" t="s">
        <v>117</v>
      </c>
      <c r="B66" s="4" t="s">
        <v>30</v>
      </c>
      <c r="C66" s="5">
        <v>45744</v>
      </c>
      <c r="D66" s="4" t="s">
        <v>31</v>
      </c>
      <c r="E66" s="4" t="s">
        <v>32</v>
      </c>
      <c r="F66" s="6">
        <v>1881</v>
      </c>
      <c r="G66" s="6">
        <v>501</v>
      </c>
      <c r="H66" s="6">
        <v>99</v>
      </c>
      <c r="I66" s="6">
        <v>20691</v>
      </c>
      <c r="J66" s="6">
        <f t="shared" si="0"/>
        <v>2770</v>
      </c>
      <c r="K66" s="6">
        <v>19987</v>
      </c>
      <c r="L66" s="6">
        <v>289</v>
      </c>
      <c r="M66" s="16" t="s">
        <v>33</v>
      </c>
      <c r="N66" s="17"/>
      <c r="O66" s="17"/>
      <c r="P66" s="7"/>
      <c r="Q66">
        <f>IFERROR(
  INDEX(Campaign!$C$2:$C$100, MATCH(M66, Campaign!$E$2:$E$100, 0)),
  0
)</f>
        <v>150000</v>
      </c>
      <c r="R66" s="25">
        <f>IFERROR(
  INDEX(Campaign!$C$2:$C$100, MATCH(N66, Campaign!$E$2:$E$100, 0)),
  0
)</f>
        <v>0</v>
      </c>
      <c r="S66">
        <f>IFERROR(
  INDEX(Campaign!$C$2:$C$100, MATCH(O66, Campaign!$E$2:$E$100, 0)),
  0
)</f>
        <v>0</v>
      </c>
      <c r="T66">
        <f t="shared" si="3"/>
        <v>1.8466666666666666E-2</v>
      </c>
      <c r="U66">
        <f t="shared" si="1"/>
        <v>0.11990720603160794</v>
      </c>
      <c r="V66" s="40" t="str">
        <f>IFERROR(
  INDEX(Campaign!$A$2:$A$100, MATCH(M70, Campaign!$E$2:$E$100, 0)),
  ""
)</f>
        <v/>
      </c>
      <c r="W66" t="str">
        <f t="shared" si="2"/>
        <v>Before</v>
      </c>
      <c r="X66" s="19"/>
    </row>
    <row r="67" spans="1:24">
      <c r="A67" s="4" t="s">
        <v>118</v>
      </c>
      <c r="B67" s="4" t="s">
        <v>13</v>
      </c>
      <c r="C67" s="5">
        <v>45499</v>
      </c>
      <c r="D67" s="4" t="s">
        <v>38</v>
      </c>
      <c r="E67" s="4" t="s">
        <v>41</v>
      </c>
      <c r="F67" s="6">
        <v>432</v>
      </c>
      <c r="G67" s="6">
        <v>171</v>
      </c>
      <c r="H67" s="6">
        <v>280</v>
      </c>
      <c r="I67" s="6">
        <v>3024</v>
      </c>
      <c r="J67" s="6">
        <f t="shared" ref="J67:J130" si="6">F67+G67+H67+L67</f>
        <v>1067</v>
      </c>
      <c r="K67" s="6">
        <v>2285</v>
      </c>
      <c r="L67" s="6">
        <v>184</v>
      </c>
      <c r="M67" s="16" t="s">
        <v>33</v>
      </c>
      <c r="N67" s="17"/>
      <c r="O67" s="17"/>
      <c r="P67" s="4" t="s">
        <v>18</v>
      </c>
      <c r="Q67">
        <f>IFERROR(
  INDEX(Campaign!$C$2:$C$100, MATCH(M67, Campaign!$E$2:$E$100, 0)),
  0
)</f>
        <v>150000</v>
      </c>
      <c r="R67" s="25">
        <f>IFERROR(
  INDEX(Campaign!$C$2:$C$100, MATCH(N67, Campaign!$E$2:$E$100, 0)),
  0
)</f>
        <v>0</v>
      </c>
      <c r="S67">
        <f>IFERROR(
  INDEX(Campaign!$C$2:$C$100, MATCH(O67, Campaign!$E$2:$E$100, 0)),
  0
)</f>
        <v>0</v>
      </c>
      <c r="T67">
        <f t="shared" ref="T67:T130" si="7">IF((Q67+R67+S67)=0, "", J67/(Q67+R67+S67))</f>
        <v>7.1133333333333335E-3</v>
      </c>
      <c r="U67">
        <f t="shared" ref="U67:U130" si="8">(F67+H67+G67)/I67</f>
        <v>0.29199735449735448</v>
      </c>
      <c r="V67" s="40" t="str">
        <f>IFERROR(
  INDEX(Campaign!$A$2:$A$100, MATCH(M71, Campaign!$E$2:$E$100, 0)),
  ""
)</f>
        <v/>
      </c>
      <c r="W67" t="str">
        <f t="shared" ref="W67:W130" si="9">IF(TRIM(O67)="","Before", "During")</f>
        <v>Before</v>
      </c>
      <c r="X67" s="19"/>
    </row>
    <row r="68" spans="1:24">
      <c r="A68" s="4" t="s">
        <v>119</v>
      </c>
      <c r="B68" s="4" t="s">
        <v>37</v>
      </c>
      <c r="C68" s="5">
        <v>45745</v>
      </c>
      <c r="D68" s="4" t="s">
        <v>38</v>
      </c>
      <c r="E68" s="4" t="s">
        <v>39</v>
      </c>
      <c r="F68" s="6">
        <v>4712</v>
      </c>
      <c r="G68" s="6">
        <v>568</v>
      </c>
      <c r="H68" s="6">
        <v>127</v>
      </c>
      <c r="I68" s="6">
        <v>84816</v>
      </c>
      <c r="J68" s="6">
        <f t="shared" si="6"/>
        <v>5507</v>
      </c>
      <c r="K68" s="6">
        <v>84691</v>
      </c>
      <c r="L68" s="6">
        <v>100</v>
      </c>
      <c r="M68" s="16" t="s">
        <v>33</v>
      </c>
      <c r="N68" s="17"/>
      <c r="O68" s="17"/>
      <c r="P68" s="4" t="s">
        <v>28</v>
      </c>
      <c r="Q68">
        <f>IFERROR(
  INDEX(Campaign!$C$2:$C$100, MATCH(M68, Campaign!$E$2:$E$100, 0)),
  0
)</f>
        <v>150000</v>
      </c>
      <c r="R68" s="25">
        <f>IFERROR(
  INDEX(Campaign!$C$2:$C$100, MATCH(N68, Campaign!$E$2:$E$100, 0)),
  0
)</f>
        <v>0</v>
      </c>
      <c r="S68">
        <f>IFERROR(
  INDEX(Campaign!$C$2:$C$100, MATCH(O68, Campaign!$E$2:$E$100, 0)),
  0
)</f>
        <v>0</v>
      </c>
      <c r="T68">
        <f t="shared" si="7"/>
        <v>3.6713333333333334E-2</v>
      </c>
      <c r="U68">
        <f t="shared" si="8"/>
        <v>6.3749764195434822E-2</v>
      </c>
      <c r="V68" s="40" t="str">
        <f>IFERROR(
  INDEX(Campaign!$A$2:$A$100, MATCH(M72, Campaign!$E$2:$E$100, 0)),
  ""
)</f>
        <v/>
      </c>
      <c r="W68" t="str">
        <f t="shared" si="9"/>
        <v>Before</v>
      </c>
      <c r="X68" s="19"/>
    </row>
    <row r="69" spans="1:24">
      <c r="A69" s="4" t="s">
        <v>120</v>
      </c>
      <c r="B69" s="4" t="s">
        <v>30</v>
      </c>
      <c r="C69" s="5">
        <v>45634</v>
      </c>
      <c r="D69" s="4" t="s">
        <v>31</v>
      </c>
      <c r="E69" s="4" t="s">
        <v>32</v>
      </c>
      <c r="F69" s="6">
        <v>2610</v>
      </c>
      <c r="G69" s="6">
        <v>126</v>
      </c>
      <c r="H69" s="6">
        <v>288</v>
      </c>
      <c r="I69" s="6">
        <v>15660</v>
      </c>
      <c r="J69" s="6">
        <f t="shared" si="6"/>
        <v>3097</v>
      </c>
      <c r="K69" s="6">
        <v>15145</v>
      </c>
      <c r="L69" s="6">
        <v>73</v>
      </c>
      <c r="M69" s="16" t="s">
        <v>33</v>
      </c>
      <c r="N69" s="17"/>
      <c r="O69" s="17"/>
      <c r="P69" s="7"/>
      <c r="Q69">
        <f>IFERROR(
  INDEX(Campaign!$C$2:$C$100, MATCH(M69, Campaign!$E$2:$E$100, 0)),
  0
)</f>
        <v>150000</v>
      </c>
      <c r="R69" s="25">
        <f>IFERROR(
  INDEX(Campaign!$C$2:$C$100, MATCH(N69, Campaign!$E$2:$E$100, 0)),
  0
)</f>
        <v>0</v>
      </c>
      <c r="S69">
        <f>IFERROR(
  INDEX(Campaign!$C$2:$C$100, MATCH(O69, Campaign!$E$2:$E$100, 0)),
  0
)</f>
        <v>0</v>
      </c>
      <c r="T69">
        <f t="shared" si="7"/>
        <v>2.0646666666666667E-2</v>
      </c>
      <c r="U69">
        <f t="shared" si="8"/>
        <v>0.19310344827586207</v>
      </c>
      <c r="V69" s="40">
        <f>IFERROR(
  INDEX(Campaign!$A$2:$A$100, MATCH(M73, Campaign!$E$2:$E$100, 0)),
  ""
)</f>
        <v>45488</v>
      </c>
      <c r="W69" t="str">
        <f t="shared" si="9"/>
        <v>Before</v>
      </c>
      <c r="X69" s="19"/>
    </row>
    <row r="70" spans="1:24">
      <c r="A70" s="4" t="s">
        <v>121</v>
      </c>
      <c r="B70" s="4" t="s">
        <v>13</v>
      </c>
      <c r="C70" s="5">
        <v>45724</v>
      </c>
      <c r="D70" s="4" t="s">
        <v>20</v>
      </c>
      <c r="E70" s="4" t="s">
        <v>21</v>
      </c>
      <c r="F70" s="6">
        <v>1292</v>
      </c>
      <c r="G70" s="6">
        <v>626</v>
      </c>
      <c r="H70" s="6">
        <v>496</v>
      </c>
      <c r="I70" s="6">
        <v>25840</v>
      </c>
      <c r="J70" s="6">
        <f t="shared" si="6"/>
        <v>2563</v>
      </c>
      <c r="K70" s="6">
        <v>24916</v>
      </c>
      <c r="L70" s="6">
        <v>149</v>
      </c>
      <c r="M70" s="16" t="s">
        <v>16</v>
      </c>
      <c r="N70" s="17"/>
      <c r="O70" s="17"/>
      <c r="P70" s="4" t="s">
        <v>28</v>
      </c>
      <c r="Q70">
        <f>IFERROR(
  INDEX(Campaign!$C$2:$C$100, MATCH(M70, Campaign!$E$2:$E$100, 0)),
  0
)</f>
        <v>0</v>
      </c>
      <c r="R70" s="25">
        <f>IFERROR(
  INDEX(Campaign!$C$2:$C$100, MATCH(N70, Campaign!$E$2:$E$100, 0)),
  0
)</f>
        <v>0</v>
      </c>
      <c r="S70">
        <f>IFERROR(
  INDEX(Campaign!$C$2:$C$100, MATCH(O70, Campaign!$E$2:$E$100, 0)),
  0
)</f>
        <v>0</v>
      </c>
      <c r="T70" t="str">
        <f t="shared" si="7"/>
        <v/>
      </c>
      <c r="U70">
        <f t="shared" si="8"/>
        <v>9.3421052631578946E-2</v>
      </c>
      <c r="V70" s="40" t="str">
        <f>IFERROR(
  INDEX(Campaign!$A$2:$A$100, MATCH(M74, Campaign!$E$2:$E$100, 0)),
  ""
)</f>
        <v/>
      </c>
      <c r="W70" t="str">
        <f t="shared" si="9"/>
        <v>Before</v>
      </c>
      <c r="X70" s="19"/>
    </row>
    <row r="71" spans="1:24">
      <c r="A71" s="4" t="s">
        <v>122</v>
      </c>
      <c r="B71" s="4" t="s">
        <v>37</v>
      </c>
      <c r="C71" s="5">
        <v>45749</v>
      </c>
      <c r="D71" s="4" t="s">
        <v>57</v>
      </c>
      <c r="E71" s="4" t="s">
        <v>58</v>
      </c>
      <c r="F71" s="6">
        <v>199</v>
      </c>
      <c r="G71" s="6">
        <v>772</v>
      </c>
      <c r="H71" s="6">
        <v>400</v>
      </c>
      <c r="I71" s="6">
        <v>3582</v>
      </c>
      <c r="J71" s="6">
        <f t="shared" si="6"/>
        <v>1414</v>
      </c>
      <c r="K71" s="6">
        <v>2988</v>
      </c>
      <c r="L71" s="6">
        <v>43</v>
      </c>
      <c r="M71" s="16" t="s">
        <v>22</v>
      </c>
      <c r="N71" s="17"/>
      <c r="O71" s="17"/>
      <c r="P71" s="7"/>
      <c r="Q71">
        <f>IFERROR(
  INDEX(Campaign!$C$2:$C$100, MATCH(M71, Campaign!$E$2:$E$100, 0)),
  0
)</f>
        <v>0</v>
      </c>
      <c r="R71" s="25">
        <f>IFERROR(
  INDEX(Campaign!$C$2:$C$100, MATCH(N71, Campaign!$E$2:$E$100, 0)),
  0
)</f>
        <v>0</v>
      </c>
      <c r="S71">
        <f>IFERROR(
  INDEX(Campaign!$C$2:$C$100, MATCH(O71, Campaign!$E$2:$E$100, 0)),
  0
)</f>
        <v>0</v>
      </c>
      <c r="T71" t="str">
        <f t="shared" si="7"/>
        <v/>
      </c>
      <c r="U71">
        <f t="shared" si="8"/>
        <v>0.38274706867671693</v>
      </c>
      <c r="V71" s="40" t="str">
        <f>IFERROR(
  INDEX(Campaign!$A$2:$A$100, MATCH(M75, Campaign!$E$2:$E$100, 0)),
  ""
)</f>
        <v/>
      </c>
      <c r="W71" t="str">
        <f t="shared" si="9"/>
        <v>Before</v>
      </c>
      <c r="X71" s="19"/>
    </row>
    <row r="72" spans="1:24">
      <c r="A72" s="4" t="s">
        <v>123</v>
      </c>
      <c r="B72" s="4" t="s">
        <v>26</v>
      </c>
      <c r="C72" s="5">
        <v>45537</v>
      </c>
      <c r="D72" s="4" t="s">
        <v>38</v>
      </c>
      <c r="E72" s="4" t="s">
        <v>53</v>
      </c>
      <c r="F72" s="6">
        <v>2551</v>
      </c>
      <c r="G72" s="6">
        <v>915</v>
      </c>
      <c r="H72" s="6">
        <v>205</v>
      </c>
      <c r="I72" s="6">
        <v>30612</v>
      </c>
      <c r="J72" s="6">
        <f t="shared" si="6"/>
        <v>3898</v>
      </c>
      <c r="K72" s="6">
        <v>30360</v>
      </c>
      <c r="L72" s="6">
        <v>227</v>
      </c>
      <c r="M72" s="16" t="s">
        <v>22</v>
      </c>
      <c r="N72" s="17"/>
      <c r="O72" s="17"/>
      <c r="P72" s="4" t="s">
        <v>24</v>
      </c>
      <c r="Q72">
        <f>IFERROR(
  INDEX(Campaign!$C$2:$C$100, MATCH(M72, Campaign!$E$2:$E$100, 0)),
  0
)</f>
        <v>0</v>
      </c>
      <c r="R72" s="25">
        <f>IFERROR(
  INDEX(Campaign!$C$2:$C$100, MATCH(N72, Campaign!$E$2:$E$100, 0)),
  0
)</f>
        <v>0</v>
      </c>
      <c r="S72">
        <f>IFERROR(
  INDEX(Campaign!$C$2:$C$100, MATCH(O72, Campaign!$E$2:$E$100, 0)),
  0
)</f>
        <v>0</v>
      </c>
      <c r="T72" t="str">
        <f t="shared" si="7"/>
        <v/>
      </c>
      <c r="U72">
        <f t="shared" si="8"/>
        <v>0.1199202926956749</v>
      </c>
      <c r="V72" s="40" t="str">
        <f>IFERROR(
  INDEX(Campaign!$A$2:$A$100, MATCH(M76, Campaign!$E$2:$E$100, 0)),
  ""
)</f>
        <v/>
      </c>
      <c r="W72" t="str">
        <f t="shared" si="9"/>
        <v>Before</v>
      </c>
      <c r="X72" s="19"/>
    </row>
    <row r="73" spans="1:24">
      <c r="A73" s="4" t="s">
        <v>124</v>
      </c>
      <c r="B73" s="4" t="s">
        <v>26</v>
      </c>
      <c r="C73" s="5">
        <v>45719</v>
      </c>
      <c r="D73" s="4" t="s">
        <v>14</v>
      </c>
      <c r="E73" s="4" t="s">
        <v>27</v>
      </c>
      <c r="F73" s="6">
        <v>296</v>
      </c>
      <c r="G73" s="6">
        <v>60</v>
      </c>
      <c r="H73" s="6">
        <v>141</v>
      </c>
      <c r="I73" s="6">
        <v>5624</v>
      </c>
      <c r="J73" s="6">
        <f t="shared" si="6"/>
        <v>585</v>
      </c>
      <c r="K73" s="6">
        <v>5239</v>
      </c>
      <c r="L73" s="6">
        <v>88</v>
      </c>
      <c r="M73" s="16" t="s">
        <v>33</v>
      </c>
      <c r="N73" s="17"/>
      <c r="O73" s="17"/>
      <c r="P73" s="4" t="s">
        <v>24</v>
      </c>
      <c r="Q73">
        <f>IFERROR(
  INDEX(Campaign!$C$2:$C$100, MATCH(M73, Campaign!$E$2:$E$100, 0)),
  0
)</f>
        <v>150000</v>
      </c>
      <c r="R73" s="25">
        <f>IFERROR(
  INDEX(Campaign!$C$2:$C$100, MATCH(N73, Campaign!$E$2:$E$100, 0)),
  0
)</f>
        <v>0</v>
      </c>
      <c r="S73">
        <f>IFERROR(
  INDEX(Campaign!$C$2:$C$100, MATCH(O73, Campaign!$E$2:$E$100, 0)),
  0
)</f>
        <v>0</v>
      </c>
      <c r="T73">
        <f t="shared" si="7"/>
        <v>3.8999999999999998E-3</v>
      </c>
      <c r="U73">
        <f t="shared" si="8"/>
        <v>8.837126600284495E-2</v>
      </c>
      <c r="V73" s="40" t="str">
        <f>IFERROR(
  INDEX(Campaign!$A$2:$A$100, MATCH(M77, Campaign!$E$2:$E$100, 0)),
  ""
)</f>
        <v/>
      </c>
      <c r="W73" t="str">
        <f t="shared" si="9"/>
        <v>Before</v>
      </c>
      <c r="X73" s="19"/>
    </row>
    <row r="74" spans="1:24">
      <c r="A74" s="4" t="s">
        <v>125</v>
      </c>
      <c r="B74" s="4" t="s">
        <v>37</v>
      </c>
      <c r="C74" s="5">
        <v>45583</v>
      </c>
      <c r="D74" s="4" t="s">
        <v>31</v>
      </c>
      <c r="E74" s="4" t="s">
        <v>55</v>
      </c>
      <c r="F74" s="6">
        <v>4126</v>
      </c>
      <c r="G74" s="6">
        <v>426</v>
      </c>
      <c r="H74" s="6">
        <v>486</v>
      </c>
      <c r="I74" s="6">
        <v>78394</v>
      </c>
      <c r="J74" s="6">
        <f t="shared" si="6"/>
        <v>5126</v>
      </c>
      <c r="K74" s="6">
        <v>77798</v>
      </c>
      <c r="L74" s="6">
        <v>88</v>
      </c>
      <c r="M74" s="16" t="s">
        <v>16</v>
      </c>
      <c r="N74" s="17"/>
      <c r="O74" s="17"/>
      <c r="P74" s="4" t="s">
        <v>34</v>
      </c>
      <c r="Q74">
        <f>IFERROR(
  INDEX(Campaign!$C$2:$C$100, MATCH(M74, Campaign!$E$2:$E$100, 0)),
  0
)</f>
        <v>0</v>
      </c>
      <c r="R74" s="25">
        <f>IFERROR(
  INDEX(Campaign!$C$2:$C$100, MATCH(N74, Campaign!$E$2:$E$100, 0)),
  0
)</f>
        <v>0</v>
      </c>
      <c r="S74">
        <f>IFERROR(
  INDEX(Campaign!$C$2:$C$100, MATCH(O74, Campaign!$E$2:$E$100, 0)),
  0
)</f>
        <v>0</v>
      </c>
      <c r="T74" t="str">
        <f t="shared" si="7"/>
        <v/>
      </c>
      <c r="U74">
        <f t="shared" si="8"/>
        <v>6.4265122330790625E-2</v>
      </c>
      <c r="V74" s="40" t="str">
        <f>IFERROR(
  INDEX(Campaign!$A$2:$A$100, MATCH(M78, Campaign!$E$2:$E$100, 0)),
  ""
)</f>
        <v/>
      </c>
      <c r="W74" t="str">
        <f t="shared" si="9"/>
        <v>Before</v>
      </c>
      <c r="X74" s="19"/>
    </row>
    <row r="75" spans="1:24">
      <c r="A75" s="4" t="s">
        <v>126</v>
      </c>
      <c r="B75" s="4" t="s">
        <v>26</v>
      </c>
      <c r="C75" s="5">
        <v>45593</v>
      </c>
      <c r="D75" s="4" t="s">
        <v>14</v>
      </c>
      <c r="E75" s="4" t="s">
        <v>27</v>
      </c>
      <c r="F75" s="6">
        <v>1855</v>
      </c>
      <c r="G75" s="6">
        <v>200</v>
      </c>
      <c r="H75" s="6">
        <v>174</v>
      </c>
      <c r="I75" s="6">
        <v>16695</v>
      </c>
      <c r="J75" s="6">
        <f t="shared" si="6"/>
        <v>2352</v>
      </c>
      <c r="K75" s="6">
        <v>16330</v>
      </c>
      <c r="L75" s="6">
        <v>123</v>
      </c>
      <c r="M75" s="16" t="s">
        <v>22</v>
      </c>
      <c r="N75" s="17"/>
      <c r="O75" s="17"/>
      <c r="P75" s="4" t="s">
        <v>28</v>
      </c>
      <c r="Q75">
        <f>IFERROR(
  INDEX(Campaign!$C$2:$C$100, MATCH(M75, Campaign!$E$2:$E$100, 0)),
  0
)</f>
        <v>0</v>
      </c>
      <c r="R75" s="25">
        <f>IFERROR(
  INDEX(Campaign!$C$2:$C$100, MATCH(N75, Campaign!$E$2:$E$100, 0)),
  0
)</f>
        <v>0</v>
      </c>
      <c r="S75">
        <f>IFERROR(
  INDEX(Campaign!$C$2:$C$100, MATCH(O75, Campaign!$E$2:$E$100, 0)),
  0
)</f>
        <v>0</v>
      </c>
      <c r="T75" t="str">
        <f t="shared" si="7"/>
        <v/>
      </c>
      <c r="U75">
        <f t="shared" si="8"/>
        <v>0.13351302785265048</v>
      </c>
      <c r="V75" s="40" t="str">
        <f>IFERROR(
  INDEX(Campaign!$A$2:$A$100, MATCH(M79, Campaign!$E$2:$E$100, 0)),
  ""
)</f>
        <v/>
      </c>
      <c r="W75" t="str">
        <f t="shared" si="9"/>
        <v>Before</v>
      </c>
      <c r="X75" s="19"/>
    </row>
    <row r="76" spans="1:24">
      <c r="A76" s="4" t="s">
        <v>127</v>
      </c>
      <c r="B76" s="4" t="s">
        <v>30</v>
      </c>
      <c r="C76" s="5">
        <v>45505</v>
      </c>
      <c r="D76" s="4" t="s">
        <v>14</v>
      </c>
      <c r="E76" s="4" t="s">
        <v>62</v>
      </c>
      <c r="F76" s="6">
        <v>1674</v>
      </c>
      <c r="G76" s="6">
        <v>929</v>
      </c>
      <c r="H76" s="6">
        <v>37</v>
      </c>
      <c r="I76" s="6">
        <v>21762</v>
      </c>
      <c r="J76" s="6">
        <f t="shared" si="6"/>
        <v>2895</v>
      </c>
      <c r="K76" s="6">
        <v>20998</v>
      </c>
      <c r="L76" s="6">
        <v>255</v>
      </c>
      <c r="M76" s="16" t="s">
        <v>22</v>
      </c>
      <c r="N76" s="17"/>
      <c r="O76" s="17"/>
      <c r="P76" s="4" t="s">
        <v>34</v>
      </c>
      <c r="Q76">
        <f>IFERROR(
  INDEX(Campaign!$C$2:$C$100, MATCH(M76, Campaign!$E$2:$E$100, 0)),
  0
)</f>
        <v>0</v>
      </c>
      <c r="R76" s="25">
        <f>IFERROR(
  INDEX(Campaign!$C$2:$C$100, MATCH(N76, Campaign!$E$2:$E$100, 0)),
  0
)</f>
        <v>0</v>
      </c>
      <c r="S76">
        <f>IFERROR(
  INDEX(Campaign!$C$2:$C$100, MATCH(O76, Campaign!$E$2:$E$100, 0)),
  0
)</f>
        <v>0</v>
      </c>
      <c r="T76" t="str">
        <f t="shared" si="7"/>
        <v/>
      </c>
      <c r="U76">
        <f t="shared" si="8"/>
        <v>0.12131237937689551</v>
      </c>
      <c r="V76" s="40">
        <f>IFERROR(
  INDEX(Campaign!$A$2:$A$100, MATCH(M80, Campaign!$E$2:$E$100, 0)),
  ""
)</f>
        <v>45488</v>
      </c>
      <c r="W76" t="str">
        <f t="shared" si="9"/>
        <v>Before</v>
      </c>
      <c r="X76" s="19"/>
    </row>
    <row r="77" spans="1:24">
      <c r="A77" s="4" t="s">
        <v>128</v>
      </c>
      <c r="B77" s="4" t="s">
        <v>13</v>
      </c>
      <c r="C77" s="5">
        <v>45603</v>
      </c>
      <c r="D77" s="4" t="s">
        <v>31</v>
      </c>
      <c r="E77" s="4" t="s">
        <v>99</v>
      </c>
      <c r="F77" s="6">
        <v>1121</v>
      </c>
      <c r="G77" s="6">
        <v>135</v>
      </c>
      <c r="H77" s="6">
        <v>18</v>
      </c>
      <c r="I77" s="6">
        <v>15694</v>
      </c>
      <c r="J77" s="6">
        <f t="shared" si="6"/>
        <v>1373</v>
      </c>
      <c r="K77" s="6">
        <v>14957</v>
      </c>
      <c r="L77" s="6">
        <v>99</v>
      </c>
      <c r="M77" s="16" t="s">
        <v>22</v>
      </c>
      <c r="N77" s="17"/>
      <c r="O77" s="17"/>
      <c r="P77" s="4" t="s">
        <v>34</v>
      </c>
      <c r="Q77">
        <f>IFERROR(
  INDEX(Campaign!$C$2:$C$100, MATCH(M77, Campaign!$E$2:$E$100, 0)),
  0
)</f>
        <v>0</v>
      </c>
      <c r="R77" s="25">
        <f>IFERROR(
  INDEX(Campaign!$C$2:$C$100, MATCH(N77, Campaign!$E$2:$E$100, 0)),
  0
)</f>
        <v>0</v>
      </c>
      <c r="S77">
        <f>IFERROR(
  INDEX(Campaign!$C$2:$C$100, MATCH(O77, Campaign!$E$2:$E$100, 0)),
  0
)</f>
        <v>0</v>
      </c>
      <c r="T77" t="str">
        <f t="shared" si="7"/>
        <v/>
      </c>
      <c r="U77">
        <f t="shared" si="8"/>
        <v>8.1177520071364848E-2</v>
      </c>
      <c r="V77" s="40" t="str">
        <f>IFERROR(
  INDEX(Campaign!$A$2:$A$100, MATCH(M81, Campaign!$E$2:$E$100, 0)),
  ""
)</f>
        <v/>
      </c>
      <c r="W77" t="str">
        <f t="shared" si="9"/>
        <v>Before</v>
      </c>
      <c r="X77" s="19"/>
    </row>
    <row r="78" spans="1:24">
      <c r="A78" s="4" t="s">
        <v>129</v>
      </c>
      <c r="B78" s="4" t="s">
        <v>37</v>
      </c>
      <c r="C78" s="5">
        <v>45720</v>
      </c>
      <c r="D78" s="4" t="s">
        <v>31</v>
      </c>
      <c r="E78" s="4" t="s">
        <v>55</v>
      </c>
      <c r="F78" s="6">
        <v>1249</v>
      </c>
      <c r="G78" s="6">
        <v>116</v>
      </c>
      <c r="H78" s="6">
        <v>420</v>
      </c>
      <c r="I78" s="6">
        <v>8743</v>
      </c>
      <c r="J78" s="6">
        <f t="shared" si="6"/>
        <v>1848</v>
      </c>
      <c r="K78" s="6">
        <v>8538</v>
      </c>
      <c r="L78" s="6">
        <v>63</v>
      </c>
      <c r="M78" s="16" t="s">
        <v>22</v>
      </c>
      <c r="N78" s="17"/>
      <c r="O78" s="17"/>
      <c r="P78" s="7"/>
      <c r="Q78">
        <f>IFERROR(
  INDEX(Campaign!$C$2:$C$100, MATCH(M78, Campaign!$E$2:$E$100, 0)),
  0
)</f>
        <v>0</v>
      </c>
      <c r="R78" s="25">
        <f>IFERROR(
  INDEX(Campaign!$C$2:$C$100, MATCH(N78, Campaign!$E$2:$E$100, 0)),
  0
)</f>
        <v>0</v>
      </c>
      <c r="S78">
        <f>IFERROR(
  INDEX(Campaign!$C$2:$C$100, MATCH(O78, Campaign!$E$2:$E$100, 0)),
  0
)</f>
        <v>0</v>
      </c>
      <c r="T78" t="str">
        <f t="shared" si="7"/>
        <v/>
      </c>
      <c r="U78">
        <f t="shared" si="8"/>
        <v>0.20416333066453163</v>
      </c>
      <c r="V78" s="40" t="str">
        <f>IFERROR(
  INDEX(Campaign!$A$2:$A$100, MATCH(M82, Campaign!$E$2:$E$100, 0)),
  ""
)</f>
        <v/>
      </c>
      <c r="W78" t="str">
        <f t="shared" si="9"/>
        <v>Before</v>
      </c>
      <c r="X78" s="19"/>
    </row>
    <row r="79" spans="1:24">
      <c r="A79" s="4" t="s">
        <v>130</v>
      </c>
      <c r="B79" s="4" t="s">
        <v>13</v>
      </c>
      <c r="C79" s="5">
        <v>45460</v>
      </c>
      <c r="D79" s="4" t="s">
        <v>43</v>
      </c>
      <c r="E79" s="4" t="s">
        <v>89</v>
      </c>
      <c r="F79" s="6">
        <v>954</v>
      </c>
      <c r="G79" s="6">
        <v>324</v>
      </c>
      <c r="H79" s="6">
        <v>288</v>
      </c>
      <c r="I79" s="6">
        <v>19080</v>
      </c>
      <c r="J79" s="6">
        <f t="shared" si="6"/>
        <v>1587</v>
      </c>
      <c r="K79" s="6">
        <v>18859</v>
      </c>
      <c r="L79" s="6">
        <v>21</v>
      </c>
      <c r="M79" s="16" t="s">
        <v>16</v>
      </c>
      <c r="N79" s="17"/>
      <c r="O79" s="17"/>
      <c r="P79" s="4" t="s">
        <v>34</v>
      </c>
      <c r="Q79">
        <f>IFERROR(
  INDEX(Campaign!$C$2:$C$100, MATCH(M79, Campaign!$E$2:$E$100, 0)),
  0
)</f>
        <v>0</v>
      </c>
      <c r="R79" s="25">
        <f>IFERROR(
  INDEX(Campaign!$C$2:$C$100, MATCH(N79, Campaign!$E$2:$E$100, 0)),
  0
)</f>
        <v>0</v>
      </c>
      <c r="S79">
        <f>IFERROR(
  INDEX(Campaign!$C$2:$C$100, MATCH(O79, Campaign!$E$2:$E$100, 0)),
  0
)</f>
        <v>0</v>
      </c>
      <c r="T79" t="str">
        <f t="shared" si="7"/>
        <v/>
      </c>
      <c r="U79">
        <f t="shared" si="8"/>
        <v>8.2075471698113203E-2</v>
      </c>
      <c r="V79" s="40" t="str">
        <f>IFERROR(
  INDEX(Campaign!$A$2:$A$100, MATCH(M83, Campaign!$E$2:$E$100, 0)),
  ""
)</f>
        <v/>
      </c>
      <c r="W79" t="str">
        <f t="shared" si="9"/>
        <v>Before</v>
      </c>
      <c r="X79" s="19"/>
    </row>
    <row r="80" spans="1:24">
      <c r="A80" s="4" t="s">
        <v>131</v>
      </c>
      <c r="B80" s="4" t="s">
        <v>30</v>
      </c>
      <c r="C80" s="5">
        <v>45574</v>
      </c>
      <c r="D80" s="4" t="s">
        <v>38</v>
      </c>
      <c r="E80" s="4" t="s">
        <v>66</v>
      </c>
      <c r="F80" s="6">
        <v>3068</v>
      </c>
      <c r="G80" s="6">
        <v>137</v>
      </c>
      <c r="H80" s="6">
        <v>329</v>
      </c>
      <c r="I80" s="6">
        <v>39884</v>
      </c>
      <c r="J80" s="6">
        <f t="shared" si="6"/>
        <v>3800</v>
      </c>
      <c r="K80" s="6">
        <v>39404</v>
      </c>
      <c r="L80" s="6">
        <v>266</v>
      </c>
      <c r="M80" s="16" t="s">
        <v>33</v>
      </c>
      <c r="N80" s="17"/>
      <c r="O80" s="17"/>
      <c r="P80" s="4" t="s">
        <v>24</v>
      </c>
      <c r="Q80">
        <f>IFERROR(
  INDEX(Campaign!$C$2:$C$100, MATCH(M80, Campaign!$E$2:$E$100, 0)),
  0
)</f>
        <v>150000</v>
      </c>
      <c r="R80" s="25">
        <f>IFERROR(
  INDEX(Campaign!$C$2:$C$100, MATCH(N80, Campaign!$E$2:$E$100, 0)),
  0
)</f>
        <v>0</v>
      </c>
      <c r="S80">
        <f>IFERROR(
  INDEX(Campaign!$C$2:$C$100, MATCH(O80, Campaign!$E$2:$E$100, 0)),
  0
)</f>
        <v>0</v>
      </c>
      <c r="T80">
        <f t="shared" si="7"/>
        <v>2.5333333333333333E-2</v>
      </c>
      <c r="U80">
        <f t="shared" si="8"/>
        <v>8.860696018453515E-2</v>
      </c>
      <c r="V80" s="40">
        <f>IFERROR(
  INDEX(Campaign!$A$2:$A$100, MATCH(M84, Campaign!$E$2:$E$100, 0)),
  ""
)</f>
        <v>45488</v>
      </c>
      <c r="W80" t="str">
        <f t="shared" si="9"/>
        <v>Before</v>
      </c>
      <c r="X80" s="19"/>
    </row>
    <row r="81" spans="1:24">
      <c r="A81" s="4" t="s">
        <v>132</v>
      </c>
      <c r="B81" s="4" t="s">
        <v>30</v>
      </c>
      <c r="C81" s="5">
        <v>45456</v>
      </c>
      <c r="D81" s="4" t="s">
        <v>31</v>
      </c>
      <c r="E81" s="4" t="s">
        <v>32</v>
      </c>
      <c r="F81" s="6">
        <v>2103</v>
      </c>
      <c r="G81" s="6">
        <v>892</v>
      </c>
      <c r="H81" s="6">
        <v>103</v>
      </c>
      <c r="I81" s="6">
        <v>39957</v>
      </c>
      <c r="J81" s="6">
        <f t="shared" si="6"/>
        <v>3126</v>
      </c>
      <c r="K81" s="6">
        <v>39466</v>
      </c>
      <c r="L81" s="6">
        <v>28</v>
      </c>
      <c r="M81" s="16" t="s">
        <v>16</v>
      </c>
      <c r="N81" s="17"/>
      <c r="O81" s="17"/>
      <c r="P81" s="7"/>
      <c r="Q81">
        <f>IFERROR(
  INDEX(Campaign!$C$2:$C$100, MATCH(M81, Campaign!$E$2:$E$100, 0)),
  0
)</f>
        <v>0</v>
      </c>
      <c r="R81" s="25">
        <f>IFERROR(
  INDEX(Campaign!$C$2:$C$100, MATCH(N81, Campaign!$E$2:$E$100, 0)),
  0
)</f>
        <v>0</v>
      </c>
      <c r="S81">
        <f>IFERROR(
  INDEX(Campaign!$C$2:$C$100, MATCH(O81, Campaign!$E$2:$E$100, 0)),
  0
)</f>
        <v>0</v>
      </c>
      <c r="T81" t="str">
        <f t="shared" si="7"/>
        <v/>
      </c>
      <c r="U81">
        <f t="shared" si="8"/>
        <v>7.7533348349475686E-2</v>
      </c>
      <c r="V81" s="40" t="str">
        <f>IFERROR(
  INDEX(Campaign!$A$2:$A$100, MATCH(M85, Campaign!$E$2:$E$100, 0)),
  ""
)</f>
        <v/>
      </c>
      <c r="W81" t="str">
        <f t="shared" si="9"/>
        <v>Before</v>
      </c>
      <c r="X81" s="19"/>
    </row>
    <row r="82" spans="1:24">
      <c r="A82" s="4" t="s">
        <v>133</v>
      </c>
      <c r="B82" s="4" t="s">
        <v>30</v>
      </c>
      <c r="C82" s="5">
        <v>45584</v>
      </c>
      <c r="D82" s="4" t="s">
        <v>31</v>
      </c>
      <c r="E82" s="4" t="s">
        <v>32</v>
      </c>
      <c r="F82" s="6">
        <v>1816</v>
      </c>
      <c r="G82" s="6">
        <v>29</v>
      </c>
      <c r="H82" s="6">
        <v>41</v>
      </c>
      <c r="I82" s="6">
        <v>19976</v>
      </c>
      <c r="J82" s="6">
        <f t="shared" si="6"/>
        <v>2169</v>
      </c>
      <c r="K82" s="6">
        <v>19262</v>
      </c>
      <c r="L82" s="6">
        <v>283</v>
      </c>
      <c r="M82" s="16" t="s">
        <v>22</v>
      </c>
      <c r="N82" s="17"/>
      <c r="O82" s="17"/>
      <c r="P82" s="4" t="s">
        <v>28</v>
      </c>
      <c r="Q82">
        <f>IFERROR(
  INDEX(Campaign!$C$2:$C$100, MATCH(M82, Campaign!$E$2:$E$100, 0)),
  0
)</f>
        <v>0</v>
      </c>
      <c r="R82" s="25">
        <f>IFERROR(
  INDEX(Campaign!$C$2:$C$100, MATCH(N82, Campaign!$E$2:$E$100, 0)),
  0
)</f>
        <v>0</v>
      </c>
      <c r="S82">
        <f>IFERROR(
  INDEX(Campaign!$C$2:$C$100, MATCH(O82, Campaign!$E$2:$E$100, 0)),
  0
)</f>
        <v>0</v>
      </c>
      <c r="T82" t="str">
        <f t="shared" si="7"/>
        <v/>
      </c>
      <c r="U82">
        <f t="shared" si="8"/>
        <v>9.4413295955146179E-2</v>
      </c>
      <c r="V82" s="40" t="str">
        <f>IFERROR(
  INDEX(Campaign!$A$2:$A$100, MATCH(M86, Campaign!$E$2:$E$100, 0)),
  ""
)</f>
        <v/>
      </c>
      <c r="W82" t="str">
        <f t="shared" si="9"/>
        <v>Before</v>
      </c>
      <c r="X82" s="19"/>
    </row>
    <row r="83" spans="1:24">
      <c r="A83" s="4" t="s">
        <v>134</v>
      </c>
      <c r="B83" s="4" t="s">
        <v>30</v>
      </c>
      <c r="C83" s="5">
        <v>45497</v>
      </c>
      <c r="D83" s="4" t="s">
        <v>43</v>
      </c>
      <c r="E83" s="4" t="s">
        <v>135</v>
      </c>
      <c r="F83" s="6">
        <v>725</v>
      </c>
      <c r="G83" s="6">
        <v>88</v>
      </c>
      <c r="H83" s="6">
        <v>428</v>
      </c>
      <c r="I83" s="6">
        <v>14500</v>
      </c>
      <c r="J83" s="6">
        <f t="shared" si="6"/>
        <v>1441</v>
      </c>
      <c r="K83" s="6">
        <v>13637</v>
      </c>
      <c r="L83" s="6">
        <v>200</v>
      </c>
      <c r="M83" s="16" t="s">
        <v>16</v>
      </c>
      <c r="N83" s="17" t="s">
        <v>22</v>
      </c>
      <c r="O83" s="17" t="s">
        <v>17</v>
      </c>
      <c r="P83" s="4" t="s">
        <v>28</v>
      </c>
      <c r="Q83">
        <f>IFERROR(
  INDEX(Campaign!$C$2:$C$100, MATCH(M83, Campaign!$E$2:$E$100, 0)),
  0
)</f>
        <v>0</v>
      </c>
      <c r="R83" s="25">
        <f>IFERROR(
  INDEX(Campaign!$C$2:$C$100, MATCH(N83, Campaign!$E$2:$E$100, 0)),
  0
)</f>
        <v>0</v>
      </c>
      <c r="S83">
        <f>IFERROR(
  INDEX(Campaign!$C$2:$C$100, MATCH(O83, Campaign!$E$2:$E$100, 0)),
  0
)</f>
        <v>200000</v>
      </c>
      <c r="T83">
        <f t="shared" si="7"/>
        <v>7.2049999999999996E-3</v>
      </c>
      <c r="U83">
        <f t="shared" si="8"/>
        <v>8.558620689655172E-2</v>
      </c>
      <c r="V83" s="40">
        <f>IFERROR(
  INDEX(Campaign!$A$2:$A$100, MATCH(M87, Campaign!$E$2:$E$100, 0)),
  ""
)</f>
        <v>45488</v>
      </c>
      <c r="W83" t="str">
        <f t="shared" si="9"/>
        <v>During</v>
      </c>
      <c r="X83" s="19"/>
    </row>
    <row r="84" spans="1:24">
      <c r="A84" s="4" t="s">
        <v>136</v>
      </c>
      <c r="B84" s="4" t="s">
        <v>26</v>
      </c>
      <c r="C84" s="5">
        <v>45580</v>
      </c>
      <c r="D84" s="4" t="s">
        <v>57</v>
      </c>
      <c r="E84" s="4" t="s">
        <v>137</v>
      </c>
      <c r="F84" s="6">
        <v>1094</v>
      </c>
      <c r="G84" s="6">
        <v>472</v>
      </c>
      <c r="H84" s="6">
        <v>21</v>
      </c>
      <c r="I84" s="6">
        <v>9846</v>
      </c>
      <c r="J84" s="6">
        <f t="shared" si="6"/>
        <v>1699</v>
      </c>
      <c r="K84" s="6">
        <v>9609</v>
      </c>
      <c r="L84" s="6">
        <v>112</v>
      </c>
      <c r="M84" s="16" t="s">
        <v>33</v>
      </c>
      <c r="N84" s="17"/>
      <c r="O84" s="17"/>
      <c r="P84" s="7"/>
      <c r="Q84">
        <f>IFERROR(
  INDEX(Campaign!$C$2:$C$100, MATCH(M84, Campaign!$E$2:$E$100, 0)),
  0
)</f>
        <v>150000</v>
      </c>
      <c r="R84" s="25">
        <f>IFERROR(
  INDEX(Campaign!$C$2:$C$100, MATCH(N84, Campaign!$E$2:$E$100, 0)),
  0
)</f>
        <v>0</v>
      </c>
      <c r="S84">
        <f>IFERROR(
  INDEX(Campaign!$C$2:$C$100, MATCH(O84, Campaign!$E$2:$E$100, 0)),
  0
)</f>
        <v>0</v>
      </c>
      <c r="T84">
        <f t="shared" si="7"/>
        <v>1.1326666666666667E-2</v>
      </c>
      <c r="U84">
        <f t="shared" si="8"/>
        <v>0.16118220597196831</v>
      </c>
      <c r="V84" s="40" t="str">
        <f>IFERROR(
  INDEX(Campaign!$A$2:$A$100, MATCH(M88, Campaign!$E$2:$E$100, 0)),
  ""
)</f>
        <v/>
      </c>
      <c r="W84" t="str">
        <f t="shared" si="9"/>
        <v>Before</v>
      </c>
      <c r="X84" s="19"/>
    </row>
    <row r="85" spans="1:24">
      <c r="A85" s="4" t="s">
        <v>138</v>
      </c>
      <c r="B85" s="4" t="s">
        <v>37</v>
      </c>
      <c r="C85" s="5">
        <v>45635</v>
      </c>
      <c r="D85" s="4" t="s">
        <v>43</v>
      </c>
      <c r="E85" s="4" t="s">
        <v>48</v>
      </c>
      <c r="F85" s="6">
        <v>1841</v>
      </c>
      <c r="G85" s="6">
        <v>851</v>
      </c>
      <c r="H85" s="6">
        <v>342</v>
      </c>
      <c r="I85" s="6">
        <v>34979</v>
      </c>
      <c r="J85" s="6">
        <f t="shared" si="6"/>
        <v>3289</v>
      </c>
      <c r="K85" s="6">
        <v>34154</v>
      </c>
      <c r="L85" s="6">
        <v>255</v>
      </c>
      <c r="M85" s="16" t="s">
        <v>16</v>
      </c>
      <c r="N85" s="17"/>
      <c r="O85" s="17"/>
      <c r="P85" s="4" t="s">
        <v>34</v>
      </c>
      <c r="Q85">
        <f>IFERROR(
  INDEX(Campaign!$C$2:$C$100, MATCH(M85, Campaign!$E$2:$E$100, 0)),
  0
)</f>
        <v>0</v>
      </c>
      <c r="R85" s="25">
        <f>IFERROR(
  INDEX(Campaign!$C$2:$C$100, MATCH(N85, Campaign!$E$2:$E$100, 0)),
  0
)</f>
        <v>0</v>
      </c>
      <c r="S85">
        <f>IFERROR(
  INDEX(Campaign!$C$2:$C$100, MATCH(O85, Campaign!$E$2:$E$100, 0)),
  0
)</f>
        <v>0</v>
      </c>
      <c r="T85" t="str">
        <f t="shared" si="7"/>
        <v/>
      </c>
      <c r="U85">
        <f t="shared" si="8"/>
        <v>8.6737756939878216E-2</v>
      </c>
      <c r="V85" s="40" t="str">
        <f>IFERROR(
  INDEX(Campaign!$A$2:$A$100, MATCH(M89, Campaign!$E$2:$E$100, 0)),
  ""
)</f>
        <v/>
      </c>
      <c r="W85" t="str">
        <f t="shared" si="9"/>
        <v>Before</v>
      </c>
      <c r="X85" s="19"/>
    </row>
    <row r="86" spans="1:24">
      <c r="A86" s="4" t="s">
        <v>139</v>
      </c>
      <c r="B86" s="4" t="s">
        <v>30</v>
      </c>
      <c r="C86" s="5">
        <v>45766</v>
      </c>
      <c r="D86" s="4" t="s">
        <v>43</v>
      </c>
      <c r="E86" s="4" t="s">
        <v>135</v>
      </c>
      <c r="F86" s="6">
        <v>4177</v>
      </c>
      <c r="G86" s="6">
        <v>569</v>
      </c>
      <c r="H86" s="6">
        <v>55</v>
      </c>
      <c r="I86" s="6">
        <v>25062</v>
      </c>
      <c r="J86" s="6">
        <f t="shared" si="6"/>
        <v>5031</v>
      </c>
      <c r="K86" s="6">
        <v>24847</v>
      </c>
      <c r="L86" s="6">
        <v>230</v>
      </c>
      <c r="M86" s="16" t="s">
        <v>16</v>
      </c>
      <c r="N86" s="17"/>
      <c r="O86" s="17"/>
      <c r="P86" s="4" t="s">
        <v>18</v>
      </c>
      <c r="Q86">
        <f>IFERROR(
  INDEX(Campaign!$C$2:$C$100, MATCH(M86, Campaign!$E$2:$E$100, 0)),
  0
)</f>
        <v>0</v>
      </c>
      <c r="R86" s="25">
        <f>IFERROR(
  INDEX(Campaign!$C$2:$C$100, MATCH(N86, Campaign!$E$2:$E$100, 0)),
  0
)</f>
        <v>0</v>
      </c>
      <c r="S86">
        <f>IFERROR(
  INDEX(Campaign!$C$2:$C$100, MATCH(O86, Campaign!$E$2:$E$100, 0)),
  0
)</f>
        <v>0</v>
      </c>
      <c r="T86" t="str">
        <f t="shared" si="7"/>
        <v/>
      </c>
      <c r="U86">
        <f t="shared" si="8"/>
        <v>0.19156491900087783</v>
      </c>
      <c r="V86" s="40">
        <f>IFERROR(
  INDEX(Campaign!$A$2:$A$100, MATCH(M90, Campaign!$E$2:$E$100, 0)),
  ""
)</f>
        <v>45488</v>
      </c>
      <c r="W86" t="str">
        <f t="shared" si="9"/>
        <v>Before</v>
      </c>
      <c r="X86" s="19"/>
    </row>
    <row r="87" spans="1:24">
      <c r="A87" s="4" t="s">
        <v>140</v>
      </c>
      <c r="B87" s="4" t="s">
        <v>26</v>
      </c>
      <c r="C87" s="5">
        <v>45684</v>
      </c>
      <c r="D87" s="4" t="s">
        <v>20</v>
      </c>
      <c r="E87" s="4" t="s">
        <v>74</v>
      </c>
      <c r="F87" s="6">
        <v>3428</v>
      </c>
      <c r="G87" s="6">
        <v>305</v>
      </c>
      <c r="H87" s="6">
        <v>85</v>
      </c>
      <c r="I87" s="6">
        <v>58276</v>
      </c>
      <c r="J87" s="6">
        <f t="shared" si="6"/>
        <v>4060</v>
      </c>
      <c r="K87" s="6">
        <v>58052</v>
      </c>
      <c r="L87" s="6">
        <v>242</v>
      </c>
      <c r="M87" s="16" t="s">
        <v>33</v>
      </c>
      <c r="N87" s="17" t="s">
        <v>23</v>
      </c>
      <c r="O87" s="17"/>
      <c r="P87" s="4" t="s">
        <v>34</v>
      </c>
      <c r="Q87">
        <f>IFERROR(
  INDEX(Campaign!$C$2:$C$100, MATCH(M87, Campaign!$E$2:$E$100, 0)),
  0
)</f>
        <v>150000</v>
      </c>
      <c r="R87" s="25">
        <f>IFERROR(
  INDEX(Campaign!$C$2:$C$100, MATCH(N87, Campaign!$E$2:$E$100, 0)),
  0
)</f>
        <v>180000</v>
      </c>
      <c r="S87">
        <f>IFERROR(
  INDEX(Campaign!$C$2:$C$100, MATCH(O87, Campaign!$E$2:$E$100, 0)),
  0
)</f>
        <v>0</v>
      </c>
      <c r="T87">
        <f t="shared" si="7"/>
        <v>1.2303030303030303E-2</v>
      </c>
      <c r="U87">
        <f t="shared" si="8"/>
        <v>6.5515821264328367E-2</v>
      </c>
      <c r="V87" s="40" t="str">
        <f>IFERROR(
  INDEX(Campaign!$A$2:$A$100, MATCH(M91, Campaign!$E$2:$E$100, 0)),
  ""
)</f>
        <v/>
      </c>
      <c r="W87" t="str">
        <f t="shared" si="9"/>
        <v>Before</v>
      </c>
      <c r="X87" s="19"/>
    </row>
    <row r="88" spans="1:24">
      <c r="A88" s="4" t="s">
        <v>141</v>
      </c>
      <c r="B88" s="4" t="s">
        <v>13</v>
      </c>
      <c r="C88" s="5">
        <v>45449</v>
      </c>
      <c r="D88" s="4" t="s">
        <v>57</v>
      </c>
      <c r="E88" s="4" t="s">
        <v>96</v>
      </c>
      <c r="F88" s="6">
        <v>1436</v>
      </c>
      <c r="G88" s="6">
        <v>765</v>
      </c>
      <c r="H88" s="6">
        <v>496</v>
      </c>
      <c r="I88" s="6">
        <v>12924</v>
      </c>
      <c r="J88" s="6">
        <f t="shared" si="6"/>
        <v>2894</v>
      </c>
      <c r="K88" s="6">
        <v>12701</v>
      </c>
      <c r="L88" s="6">
        <v>197</v>
      </c>
      <c r="M88" s="16" t="s">
        <v>16</v>
      </c>
      <c r="N88" s="17"/>
      <c r="O88" s="17"/>
      <c r="P88" s="4" t="s">
        <v>28</v>
      </c>
      <c r="Q88">
        <f>IFERROR(
  INDEX(Campaign!$C$2:$C$100, MATCH(M88, Campaign!$E$2:$E$100, 0)),
  0
)</f>
        <v>0</v>
      </c>
      <c r="R88" s="25">
        <f>IFERROR(
  INDEX(Campaign!$C$2:$C$100, MATCH(N88, Campaign!$E$2:$E$100, 0)),
  0
)</f>
        <v>0</v>
      </c>
      <c r="S88">
        <f>IFERROR(
  INDEX(Campaign!$C$2:$C$100, MATCH(O88, Campaign!$E$2:$E$100, 0)),
  0
)</f>
        <v>0</v>
      </c>
      <c r="T88" t="str">
        <f t="shared" si="7"/>
        <v/>
      </c>
      <c r="U88">
        <f t="shared" si="8"/>
        <v>0.20868152274837512</v>
      </c>
      <c r="V88" s="40">
        <f>IFERROR(
  INDEX(Campaign!$A$2:$A$100, MATCH(M92, Campaign!$E$2:$E$100, 0)),
  ""
)</f>
        <v>45488</v>
      </c>
      <c r="W88" t="str">
        <f t="shared" si="9"/>
        <v>Before</v>
      </c>
      <c r="X88" s="19"/>
    </row>
    <row r="89" spans="1:24">
      <c r="A89" s="4" t="s">
        <v>142</v>
      </c>
      <c r="B89" s="4" t="s">
        <v>37</v>
      </c>
      <c r="C89" s="5">
        <v>45480</v>
      </c>
      <c r="D89" s="4" t="s">
        <v>31</v>
      </c>
      <c r="E89" s="4" t="s">
        <v>55</v>
      </c>
      <c r="F89" s="6">
        <v>302</v>
      </c>
      <c r="G89" s="6">
        <v>47</v>
      </c>
      <c r="H89" s="6">
        <v>430</v>
      </c>
      <c r="I89" s="6">
        <v>5738</v>
      </c>
      <c r="J89" s="6">
        <f t="shared" si="6"/>
        <v>804</v>
      </c>
      <c r="K89" s="6">
        <v>4890</v>
      </c>
      <c r="L89" s="6">
        <v>25</v>
      </c>
      <c r="M89" s="16" t="s">
        <v>22</v>
      </c>
      <c r="N89" s="17"/>
      <c r="O89" s="17"/>
      <c r="P89" s="4" t="s">
        <v>34</v>
      </c>
      <c r="Q89">
        <f>IFERROR(
  INDEX(Campaign!$C$2:$C$100, MATCH(M89, Campaign!$E$2:$E$100, 0)),
  0
)</f>
        <v>0</v>
      </c>
      <c r="R89" s="25">
        <f>IFERROR(
  INDEX(Campaign!$C$2:$C$100, MATCH(N89, Campaign!$E$2:$E$100, 0)),
  0
)</f>
        <v>0</v>
      </c>
      <c r="S89">
        <f>IFERROR(
  INDEX(Campaign!$C$2:$C$100, MATCH(O89, Campaign!$E$2:$E$100, 0)),
  0
)</f>
        <v>0</v>
      </c>
      <c r="T89" t="str">
        <f t="shared" si="7"/>
        <v/>
      </c>
      <c r="U89">
        <f t="shared" si="8"/>
        <v>0.13576158940397351</v>
      </c>
      <c r="V89" s="40" t="str">
        <f>IFERROR(
  INDEX(Campaign!$A$2:$A$100, MATCH(M93, Campaign!$E$2:$E$100, 0)),
  ""
)</f>
        <v/>
      </c>
      <c r="W89" t="str">
        <f t="shared" si="9"/>
        <v>Before</v>
      </c>
      <c r="X89" s="19"/>
    </row>
    <row r="90" spans="1:24">
      <c r="A90" s="4" t="s">
        <v>143</v>
      </c>
      <c r="B90" s="4" t="s">
        <v>13</v>
      </c>
      <c r="C90" s="5">
        <v>45667</v>
      </c>
      <c r="D90" s="4" t="s">
        <v>43</v>
      </c>
      <c r="E90" s="4" t="s">
        <v>89</v>
      </c>
      <c r="F90" s="6">
        <v>2214</v>
      </c>
      <c r="G90" s="6">
        <v>249</v>
      </c>
      <c r="H90" s="6">
        <v>152</v>
      </c>
      <c r="I90" s="6">
        <v>15498</v>
      </c>
      <c r="J90" s="6">
        <f t="shared" si="6"/>
        <v>2795</v>
      </c>
      <c r="K90" s="6">
        <v>14800</v>
      </c>
      <c r="L90" s="6">
        <v>180</v>
      </c>
      <c r="M90" s="16" t="s">
        <v>33</v>
      </c>
      <c r="N90" s="17"/>
      <c r="O90" s="17"/>
      <c r="P90" s="7"/>
      <c r="Q90">
        <f>IFERROR(
  INDEX(Campaign!$C$2:$C$100, MATCH(M90, Campaign!$E$2:$E$100, 0)),
  0
)</f>
        <v>150000</v>
      </c>
      <c r="R90" s="25">
        <f>IFERROR(
  INDEX(Campaign!$C$2:$C$100, MATCH(N90, Campaign!$E$2:$E$100, 0)),
  0
)</f>
        <v>0</v>
      </c>
      <c r="S90">
        <f>IFERROR(
  INDEX(Campaign!$C$2:$C$100, MATCH(O90, Campaign!$E$2:$E$100, 0)),
  0
)</f>
        <v>0</v>
      </c>
      <c r="T90">
        <f t="shared" si="7"/>
        <v>1.8633333333333332E-2</v>
      </c>
      <c r="U90">
        <f t="shared" si="8"/>
        <v>0.16873144921925409</v>
      </c>
      <c r="V90" s="40">
        <f>IFERROR(
  INDEX(Campaign!$A$2:$A$100, MATCH(M94, Campaign!$E$2:$E$100, 0)),
  ""
)</f>
        <v>45488</v>
      </c>
      <c r="W90" t="str">
        <f t="shared" si="9"/>
        <v>Before</v>
      </c>
      <c r="X90" s="19"/>
    </row>
    <row r="91" spans="1:24">
      <c r="A91" s="4" t="s">
        <v>144</v>
      </c>
      <c r="B91" s="4" t="s">
        <v>30</v>
      </c>
      <c r="C91" s="5">
        <v>45446</v>
      </c>
      <c r="D91" s="4" t="s">
        <v>43</v>
      </c>
      <c r="E91" s="4" t="s">
        <v>135</v>
      </c>
      <c r="F91" s="6">
        <v>3861</v>
      </c>
      <c r="G91" s="6">
        <v>960</v>
      </c>
      <c r="H91" s="6">
        <v>101</v>
      </c>
      <c r="I91" s="6">
        <v>69498</v>
      </c>
      <c r="J91" s="6">
        <f t="shared" si="6"/>
        <v>5219</v>
      </c>
      <c r="K91" s="6">
        <v>68817</v>
      </c>
      <c r="L91" s="6">
        <v>297</v>
      </c>
      <c r="M91" s="16" t="s">
        <v>22</v>
      </c>
      <c r="N91" s="17"/>
      <c r="O91" s="17"/>
      <c r="P91" s="4" t="s">
        <v>34</v>
      </c>
      <c r="Q91">
        <f>IFERROR(
  INDEX(Campaign!$C$2:$C$100, MATCH(M91, Campaign!$E$2:$E$100, 0)),
  0
)</f>
        <v>0</v>
      </c>
      <c r="R91" s="25">
        <f>IFERROR(
  INDEX(Campaign!$C$2:$C$100, MATCH(N91, Campaign!$E$2:$E$100, 0)),
  0
)</f>
        <v>0</v>
      </c>
      <c r="S91">
        <f>IFERROR(
  INDEX(Campaign!$C$2:$C$100, MATCH(O91, Campaign!$E$2:$E$100, 0)),
  0
)</f>
        <v>0</v>
      </c>
      <c r="T91" t="str">
        <f t="shared" si="7"/>
        <v/>
      </c>
      <c r="U91">
        <f t="shared" si="8"/>
        <v>7.0822181933293038E-2</v>
      </c>
      <c r="V91" s="40" t="str">
        <f>IFERROR(
  INDEX(Campaign!$A$2:$A$100, MATCH(M95, Campaign!$E$2:$E$100, 0)),
  ""
)</f>
        <v/>
      </c>
      <c r="W91" t="str">
        <f t="shared" si="9"/>
        <v>Before</v>
      </c>
      <c r="X91" s="19"/>
    </row>
    <row r="92" spans="1:24">
      <c r="A92" s="4" t="s">
        <v>145</v>
      </c>
      <c r="B92" s="4" t="s">
        <v>37</v>
      </c>
      <c r="C92" s="5">
        <v>45740</v>
      </c>
      <c r="D92" s="4" t="s">
        <v>43</v>
      </c>
      <c r="E92" s="4" t="s">
        <v>48</v>
      </c>
      <c r="F92" s="6">
        <v>1263</v>
      </c>
      <c r="G92" s="6">
        <v>397</v>
      </c>
      <c r="H92" s="6">
        <v>357</v>
      </c>
      <c r="I92" s="6">
        <v>25260</v>
      </c>
      <c r="J92" s="6">
        <f t="shared" si="6"/>
        <v>2154</v>
      </c>
      <c r="K92" s="6">
        <v>24615</v>
      </c>
      <c r="L92" s="6">
        <v>137</v>
      </c>
      <c r="M92" s="16" t="s">
        <v>33</v>
      </c>
      <c r="N92" s="17"/>
      <c r="O92" s="17"/>
      <c r="P92" s="4" t="s">
        <v>34</v>
      </c>
      <c r="Q92">
        <f>IFERROR(
  INDEX(Campaign!$C$2:$C$100, MATCH(M92, Campaign!$E$2:$E$100, 0)),
  0
)</f>
        <v>150000</v>
      </c>
      <c r="R92" s="25">
        <f>IFERROR(
  INDEX(Campaign!$C$2:$C$100, MATCH(N92, Campaign!$E$2:$E$100, 0)),
  0
)</f>
        <v>0</v>
      </c>
      <c r="S92">
        <f>IFERROR(
  INDEX(Campaign!$C$2:$C$100, MATCH(O92, Campaign!$E$2:$E$100, 0)),
  0
)</f>
        <v>0</v>
      </c>
      <c r="T92">
        <f t="shared" si="7"/>
        <v>1.436E-2</v>
      </c>
      <c r="U92">
        <f t="shared" si="8"/>
        <v>7.984956452889945E-2</v>
      </c>
      <c r="V92" s="40" t="str">
        <f>IFERROR(
  INDEX(Campaign!$A$2:$A$100, MATCH(M96, Campaign!$E$2:$E$100, 0)),
  ""
)</f>
        <v/>
      </c>
      <c r="W92" t="str">
        <f t="shared" si="9"/>
        <v>Before</v>
      </c>
      <c r="X92" s="19"/>
    </row>
    <row r="93" spans="1:24">
      <c r="A93" s="4" t="s">
        <v>146</v>
      </c>
      <c r="B93" s="4" t="s">
        <v>13</v>
      </c>
      <c r="C93" s="5">
        <v>45586</v>
      </c>
      <c r="D93" s="4" t="s">
        <v>31</v>
      </c>
      <c r="E93" s="4" t="s">
        <v>99</v>
      </c>
      <c r="F93" s="6">
        <v>3801</v>
      </c>
      <c r="G93" s="6">
        <v>967</v>
      </c>
      <c r="H93" s="6">
        <v>401</v>
      </c>
      <c r="I93" s="6">
        <v>38010</v>
      </c>
      <c r="J93" s="6">
        <f t="shared" si="6"/>
        <v>5405</v>
      </c>
      <c r="K93" s="6">
        <v>37625</v>
      </c>
      <c r="L93" s="6">
        <v>236</v>
      </c>
      <c r="M93" s="16" t="s">
        <v>16</v>
      </c>
      <c r="N93" s="17"/>
      <c r="O93" s="17"/>
      <c r="P93" s="4" t="s">
        <v>28</v>
      </c>
      <c r="Q93">
        <f>IFERROR(
  INDEX(Campaign!$C$2:$C$100, MATCH(M93, Campaign!$E$2:$E$100, 0)),
  0
)</f>
        <v>0</v>
      </c>
      <c r="R93" s="25">
        <f>IFERROR(
  INDEX(Campaign!$C$2:$C$100, MATCH(N93, Campaign!$E$2:$E$100, 0)),
  0
)</f>
        <v>0</v>
      </c>
      <c r="S93">
        <f>IFERROR(
  INDEX(Campaign!$C$2:$C$100, MATCH(O93, Campaign!$E$2:$E$100, 0)),
  0
)</f>
        <v>0</v>
      </c>
      <c r="T93" t="str">
        <f t="shared" si="7"/>
        <v/>
      </c>
      <c r="U93">
        <f t="shared" si="8"/>
        <v>0.13599052880820836</v>
      </c>
      <c r="V93" s="40" t="str">
        <f>IFERROR(
  INDEX(Campaign!$A$2:$A$100, MATCH(M97, Campaign!$E$2:$E$100, 0)),
  ""
)</f>
        <v/>
      </c>
      <c r="W93" t="str">
        <f t="shared" si="9"/>
        <v>Before</v>
      </c>
      <c r="X93" s="19"/>
    </row>
    <row r="94" spans="1:24">
      <c r="A94" s="4" t="s">
        <v>147</v>
      </c>
      <c r="B94" s="4" t="s">
        <v>30</v>
      </c>
      <c r="C94" s="5">
        <v>45637</v>
      </c>
      <c r="D94" s="4" t="s">
        <v>57</v>
      </c>
      <c r="E94" s="4" t="s">
        <v>64</v>
      </c>
      <c r="F94" s="6">
        <v>1431</v>
      </c>
      <c r="G94" s="6">
        <v>951</v>
      </c>
      <c r="H94" s="6">
        <v>26</v>
      </c>
      <c r="I94" s="6">
        <v>8586</v>
      </c>
      <c r="J94" s="6">
        <f t="shared" si="6"/>
        <v>2558</v>
      </c>
      <c r="K94" s="6">
        <v>8396</v>
      </c>
      <c r="L94" s="6">
        <v>150</v>
      </c>
      <c r="M94" s="16" t="s">
        <v>33</v>
      </c>
      <c r="N94" s="17"/>
      <c r="O94" s="17"/>
      <c r="P94" s="4" t="s">
        <v>28</v>
      </c>
      <c r="Q94">
        <f>IFERROR(
  INDEX(Campaign!$C$2:$C$100, MATCH(M94, Campaign!$E$2:$E$100, 0)),
  0
)</f>
        <v>150000</v>
      </c>
      <c r="R94" s="25">
        <f>IFERROR(
  INDEX(Campaign!$C$2:$C$100, MATCH(N94, Campaign!$E$2:$E$100, 0)),
  0
)</f>
        <v>0</v>
      </c>
      <c r="S94">
        <f>IFERROR(
  INDEX(Campaign!$C$2:$C$100, MATCH(O94, Campaign!$E$2:$E$100, 0)),
  0
)</f>
        <v>0</v>
      </c>
      <c r="T94">
        <f t="shared" si="7"/>
        <v>1.7053333333333334E-2</v>
      </c>
      <c r="U94">
        <f t="shared" si="8"/>
        <v>0.28045655718611695</v>
      </c>
      <c r="V94" s="40" t="str">
        <f>IFERROR(
  INDEX(Campaign!$A$2:$A$100, MATCH(M98, Campaign!$E$2:$E$100, 0)),
  ""
)</f>
        <v/>
      </c>
      <c r="W94" t="str">
        <f t="shared" si="9"/>
        <v>Before</v>
      </c>
      <c r="X94" s="19"/>
    </row>
    <row r="95" spans="1:24">
      <c r="A95" s="4" t="s">
        <v>148</v>
      </c>
      <c r="B95" s="4" t="s">
        <v>30</v>
      </c>
      <c r="C95" s="5">
        <v>45603</v>
      </c>
      <c r="D95" s="4" t="s">
        <v>43</v>
      </c>
      <c r="E95" s="4" t="s">
        <v>135</v>
      </c>
      <c r="F95" s="6">
        <v>2647</v>
      </c>
      <c r="G95" s="6">
        <v>304</v>
      </c>
      <c r="H95" s="6">
        <v>170</v>
      </c>
      <c r="I95" s="6">
        <v>18529</v>
      </c>
      <c r="J95" s="6">
        <f t="shared" si="6"/>
        <v>3167</v>
      </c>
      <c r="K95" s="6">
        <v>17841</v>
      </c>
      <c r="L95" s="6">
        <v>46</v>
      </c>
      <c r="M95" s="16" t="s">
        <v>16</v>
      </c>
      <c r="N95" s="17"/>
      <c r="O95" s="17"/>
      <c r="P95" s="4" t="s">
        <v>28</v>
      </c>
      <c r="Q95">
        <f>IFERROR(
  INDEX(Campaign!$C$2:$C$100, MATCH(M95, Campaign!$E$2:$E$100, 0)),
  0
)</f>
        <v>0</v>
      </c>
      <c r="R95" s="25">
        <f>IFERROR(
  INDEX(Campaign!$C$2:$C$100, MATCH(N95, Campaign!$E$2:$E$100, 0)),
  0
)</f>
        <v>0</v>
      </c>
      <c r="S95">
        <f>IFERROR(
  INDEX(Campaign!$C$2:$C$100, MATCH(O95, Campaign!$E$2:$E$100, 0)),
  0
)</f>
        <v>0</v>
      </c>
      <c r="T95" t="str">
        <f t="shared" si="7"/>
        <v/>
      </c>
      <c r="U95">
        <f t="shared" si="8"/>
        <v>0.16843866371633656</v>
      </c>
      <c r="V95" s="40" t="str">
        <f>IFERROR(
  INDEX(Campaign!$A$2:$A$100, MATCH(M99, Campaign!$E$2:$E$100, 0)),
  ""
)</f>
        <v/>
      </c>
      <c r="W95" t="str">
        <f t="shared" si="9"/>
        <v>Before</v>
      </c>
      <c r="X95" s="19"/>
    </row>
    <row r="96" spans="1:24">
      <c r="A96" s="4" t="s">
        <v>149</v>
      </c>
      <c r="B96" s="4" t="s">
        <v>30</v>
      </c>
      <c r="C96" s="5">
        <v>45604</v>
      </c>
      <c r="D96" s="4" t="s">
        <v>20</v>
      </c>
      <c r="E96" s="4" t="s">
        <v>79</v>
      </c>
      <c r="F96" s="6">
        <v>3182</v>
      </c>
      <c r="G96" s="6">
        <v>559</v>
      </c>
      <c r="H96" s="6">
        <v>160</v>
      </c>
      <c r="I96" s="6">
        <v>57276</v>
      </c>
      <c r="J96" s="6">
        <f t="shared" si="6"/>
        <v>4064</v>
      </c>
      <c r="K96" s="6">
        <v>56890</v>
      </c>
      <c r="L96" s="6">
        <v>163</v>
      </c>
      <c r="M96" s="16" t="s">
        <v>16</v>
      </c>
      <c r="N96" s="17"/>
      <c r="O96" s="17"/>
      <c r="P96" s="4" t="s">
        <v>34</v>
      </c>
      <c r="Q96">
        <f>IFERROR(
  INDEX(Campaign!$C$2:$C$100, MATCH(M96, Campaign!$E$2:$E$100, 0)),
  0
)</f>
        <v>0</v>
      </c>
      <c r="R96" s="25">
        <f>IFERROR(
  INDEX(Campaign!$C$2:$C$100, MATCH(N96, Campaign!$E$2:$E$100, 0)),
  0
)</f>
        <v>0</v>
      </c>
      <c r="S96">
        <f>IFERROR(
  INDEX(Campaign!$C$2:$C$100, MATCH(O96, Campaign!$E$2:$E$100, 0)),
  0
)</f>
        <v>0</v>
      </c>
      <c r="T96" t="str">
        <f t="shared" si="7"/>
        <v/>
      </c>
      <c r="U96">
        <f t="shared" si="8"/>
        <v>6.8108806480899509E-2</v>
      </c>
      <c r="V96" s="40" t="str">
        <f>IFERROR(
  INDEX(Campaign!$A$2:$A$100, MATCH(M100, Campaign!$E$2:$E$100, 0)),
  ""
)</f>
        <v/>
      </c>
      <c r="W96" t="str">
        <f t="shared" si="9"/>
        <v>Before</v>
      </c>
      <c r="X96" s="19"/>
    </row>
    <row r="97" spans="1:24">
      <c r="A97" s="4" t="s">
        <v>150</v>
      </c>
      <c r="B97" s="4" t="s">
        <v>13</v>
      </c>
      <c r="C97" s="5">
        <v>45545</v>
      </c>
      <c r="D97" s="4" t="s">
        <v>43</v>
      </c>
      <c r="E97" s="4" t="s">
        <v>89</v>
      </c>
      <c r="F97" s="6">
        <v>1238</v>
      </c>
      <c r="G97" s="6">
        <v>366</v>
      </c>
      <c r="H97" s="6">
        <v>444</v>
      </c>
      <c r="I97" s="6">
        <v>19808</v>
      </c>
      <c r="J97" s="6">
        <f t="shared" si="6"/>
        <v>2171</v>
      </c>
      <c r="K97" s="6">
        <v>19334</v>
      </c>
      <c r="L97" s="6">
        <v>123</v>
      </c>
      <c r="M97" s="16" t="s">
        <v>16</v>
      </c>
      <c r="N97" s="17"/>
      <c r="O97" s="17"/>
      <c r="P97" s="7"/>
      <c r="Q97">
        <f>IFERROR(
  INDEX(Campaign!$C$2:$C$100, MATCH(M97, Campaign!$E$2:$E$100, 0)),
  0
)</f>
        <v>0</v>
      </c>
      <c r="R97" s="25">
        <f>IFERROR(
  INDEX(Campaign!$C$2:$C$100, MATCH(N97, Campaign!$E$2:$E$100, 0)),
  0
)</f>
        <v>0</v>
      </c>
      <c r="S97">
        <f>IFERROR(
  INDEX(Campaign!$C$2:$C$100, MATCH(O97, Campaign!$E$2:$E$100, 0)),
  0
)</f>
        <v>0</v>
      </c>
      <c r="T97" t="str">
        <f t="shared" si="7"/>
        <v/>
      </c>
      <c r="U97">
        <f t="shared" si="8"/>
        <v>0.10339256865912763</v>
      </c>
      <c r="V97" s="40">
        <f>IFERROR(
  INDEX(Campaign!$A$2:$A$100, MATCH(M101, Campaign!$E$2:$E$100, 0)),
  ""
)</f>
        <v>45488</v>
      </c>
      <c r="W97" t="str">
        <f t="shared" si="9"/>
        <v>Before</v>
      </c>
      <c r="X97" s="19"/>
    </row>
    <row r="98" spans="1:24">
      <c r="A98" s="4" t="s">
        <v>151</v>
      </c>
      <c r="B98" s="4" t="s">
        <v>30</v>
      </c>
      <c r="C98" s="5">
        <v>45517</v>
      </c>
      <c r="D98" s="4" t="s">
        <v>43</v>
      </c>
      <c r="E98" s="4" t="s">
        <v>135</v>
      </c>
      <c r="F98" s="6">
        <v>4739</v>
      </c>
      <c r="G98" s="6">
        <v>527</v>
      </c>
      <c r="H98" s="6">
        <v>135</v>
      </c>
      <c r="I98" s="6">
        <v>61607</v>
      </c>
      <c r="J98" s="6">
        <f t="shared" si="6"/>
        <v>5437</v>
      </c>
      <c r="K98" s="6">
        <v>61333</v>
      </c>
      <c r="L98" s="6">
        <v>36</v>
      </c>
      <c r="M98" s="16" t="s">
        <v>22</v>
      </c>
      <c r="N98" s="17" t="s">
        <v>17</v>
      </c>
      <c r="O98" s="17"/>
      <c r="P98" s="4" t="s">
        <v>24</v>
      </c>
      <c r="Q98">
        <f>IFERROR(
  INDEX(Campaign!$C$2:$C$100, MATCH(M98, Campaign!$E$2:$E$100, 0)),
  0
)</f>
        <v>0</v>
      </c>
      <c r="R98" s="25">
        <f>IFERROR(
  INDEX(Campaign!$C$2:$C$100, MATCH(N98, Campaign!$E$2:$E$100, 0)),
  0
)</f>
        <v>200000</v>
      </c>
      <c r="S98">
        <f>IFERROR(
  INDEX(Campaign!$C$2:$C$100, MATCH(O98, Campaign!$E$2:$E$100, 0)),
  0
)</f>
        <v>0</v>
      </c>
      <c r="T98">
        <f t="shared" si="7"/>
        <v>2.7185000000000001E-2</v>
      </c>
      <c r="U98">
        <f t="shared" si="8"/>
        <v>8.7668609086629767E-2</v>
      </c>
      <c r="V98" s="40" t="str">
        <f>IFERROR(
  INDEX(Campaign!$A$2:$A$100, MATCH(M102, Campaign!$E$2:$E$100, 0)),
  ""
)</f>
        <v/>
      </c>
      <c r="W98" t="str">
        <f t="shared" si="9"/>
        <v>Before</v>
      </c>
      <c r="X98" s="19"/>
    </row>
    <row r="99" spans="1:24">
      <c r="A99" s="4" t="s">
        <v>152</v>
      </c>
      <c r="B99" s="4" t="s">
        <v>13</v>
      </c>
      <c r="C99" s="5">
        <v>45453</v>
      </c>
      <c r="D99" s="4" t="s">
        <v>31</v>
      </c>
      <c r="E99" s="4" t="s">
        <v>99</v>
      </c>
      <c r="F99" s="6">
        <v>1575</v>
      </c>
      <c r="G99" s="6">
        <v>771</v>
      </c>
      <c r="H99" s="6">
        <v>486</v>
      </c>
      <c r="I99" s="6">
        <v>25200</v>
      </c>
      <c r="J99" s="6">
        <f t="shared" si="6"/>
        <v>2849</v>
      </c>
      <c r="K99" s="6">
        <v>24826</v>
      </c>
      <c r="L99" s="6">
        <v>17</v>
      </c>
      <c r="M99" s="16" t="s">
        <v>16</v>
      </c>
      <c r="N99" s="17"/>
      <c r="O99" s="17"/>
      <c r="P99" s="4" t="s">
        <v>34</v>
      </c>
      <c r="Q99">
        <f>IFERROR(
  INDEX(Campaign!$C$2:$C$100, MATCH(M99, Campaign!$E$2:$E$100, 0)),
  0
)</f>
        <v>0</v>
      </c>
      <c r="R99" s="25">
        <f>IFERROR(
  INDEX(Campaign!$C$2:$C$100, MATCH(N99, Campaign!$E$2:$E$100, 0)),
  0
)</f>
        <v>0</v>
      </c>
      <c r="S99">
        <f>IFERROR(
  INDEX(Campaign!$C$2:$C$100, MATCH(O99, Campaign!$E$2:$E$100, 0)),
  0
)</f>
        <v>0</v>
      </c>
      <c r="T99" t="str">
        <f t="shared" si="7"/>
        <v/>
      </c>
      <c r="U99">
        <f t="shared" si="8"/>
        <v>0.11238095238095239</v>
      </c>
      <c r="V99" s="40">
        <f>IFERROR(
  INDEX(Campaign!$A$2:$A$100, MATCH(M103, Campaign!$E$2:$E$100, 0)),
  ""
)</f>
        <v>45488</v>
      </c>
      <c r="W99" t="str">
        <f t="shared" si="9"/>
        <v>Before</v>
      </c>
      <c r="X99" s="19"/>
    </row>
    <row r="100" spans="1:24">
      <c r="A100" s="4" t="s">
        <v>153</v>
      </c>
      <c r="B100" s="4" t="s">
        <v>26</v>
      </c>
      <c r="C100" s="5">
        <v>45475</v>
      </c>
      <c r="D100" s="4" t="s">
        <v>38</v>
      </c>
      <c r="E100" s="4" t="s">
        <v>53</v>
      </c>
      <c r="F100" s="6">
        <v>4171</v>
      </c>
      <c r="G100" s="6">
        <v>548</v>
      </c>
      <c r="H100" s="6">
        <v>86</v>
      </c>
      <c r="I100" s="6">
        <v>66736</v>
      </c>
      <c r="J100" s="6">
        <f t="shared" si="6"/>
        <v>4978</v>
      </c>
      <c r="K100" s="6">
        <v>66634</v>
      </c>
      <c r="L100" s="6">
        <v>173</v>
      </c>
      <c r="M100" s="16" t="s">
        <v>16</v>
      </c>
      <c r="N100" s="17"/>
      <c r="O100" s="17"/>
      <c r="P100" s="4" t="s">
        <v>28</v>
      </c>
      <c r="Q100">
        <f>IFERROR(
  INDEX(Campaign!$C$2:$C$100, MATCH(M100, Campaign!$E$2:$E$100, 0)),
  0
)</f>
        <v>0</v>
      </c>
      <c r="R100" s="25">
        <f>IFERROR(
  INDEX(Campaign!$C$2:$C$100, MATCH(N100, Campaign!$E$2:$E$100, 0)),
  0
)</f>
        <v>0</v>
      </c>
      <c r="S100">
        <f>IFERROR(
  INDEX(Campaign!$C$2:$C$100, MATCH(O100, Campaign!$E$2:$E$100, 0)),
  0
)</f>
        <v>0</v>
      </c>
      <c r="T100" t="str">
        <f t="shared" si="7"/>
        <v/>
      </c>
      <c r="U100">
        <f t="shared" si="8"/>
        <v>7.2000119875329657E-2</v>
      </c>
      <c r="V100" s="40">
        <f>IFERROR(
  INDEX(Campaign!$A$2:$A$100, MATCH(M104, Campaign!$E$2:$E$100, 0)),
  ""
)</f>
        <v>45488</v>
      </c>
      <c r="W100" t="str">
        <f t="shared" si="9"/>
        <v>Before</v>
      </c>
      <c r="X100" s="19"/>
    </row>
    <row r="101" spans="1:24">
      <c r="A101" s="4" t="s">
        <v>154</v>
      </c>
      <c r="B101" s="4" t="s">
        <v>26</v>
      </c>
      <c r="C101" s="5">
        <v>45698</v>
      </c>
      <c r="D101" s="4" t="s">
        <v>57</v>
      </c>
      <c r="E101" s="4" t="s">
        <v>137</v>
      </c>
      <c r="F101" s="6">
        <v>1766</v>
      </c>
      <c r="G101" s="6">
        <v>92</v>
      </c>
      <c r="H101" s="6">
        <v>424</v>
      </c>
      <c r="I101" s="6">
        <v>24724</v>
      </c>
      <c r="J101" s="6">
        <f t="shared" si="6"/>
        <v>2334</v>
      </c>
      <c r="K101" s="6">
        <v>24333</v>
      </c>
      <c r="L101" s="6">
        <v>52</v>
      </c>
      <c r="M101" s="16" t="s">
        <v>33</v>
      </c>
      <c r="N101" s="17"/>
      <c r="O101" s="17"/>
      <c r="P101" s="7"/>
      <c r="Q101">
        <f>IFERROR(
  INDEX(Campaign!$C$2:$C$100, MATCH(M101, Campaign!$E$2:$E$100, 0)),
  0
)</f>
        <v>150000</v>
      </c>
      <c r="R101" s="25">
        <f>IFERROR(
  INDEX(Campaign!$C$2:$C$100, MATCH(N101, Campaign!$E$2:$E$100, 0)),
  0
)</f>
        <v>0</v>
      </c>
      <c r="S101">
        <f>IFERROR(
  INDEX(Campaign!$C$2:$C$100, MATCH(O101, Campaign!$E$2:$E$100, 0)),
  0
)</f>
        <v>0</v>
      </c>
      <c r="T101">
        <f t="shared" si="7"/>
        <v>1.5559999999999999E-2</v>
      </c>
      <c r="U101">
        <f t="shared" si="8"/>
        <v>9.2298980747451867E-2</v>
      </c>
      <c r="V101" s="40" t="str">
        <f>IFERROR(
  INDEX(Campaign!$A$2:$A$100, MATCH(M105, Campaign!$E$2:$E$100, 0)),
  ""
)</f>
        <v/>
      </c>
      <c r="W101" t="str">
        <f t="shared" si="9"/>
        <v>Before</v>
      </c>
      <c r="X101" s="19"/>
    </row>
    <row r="102" spans="1:24">
      <c r="A102" s="4" t="s">
        <v>155</v>
      </c>
      <c r="B102" s="4" t="s">
        <v>26</v>
      </c>
      <c r="C102" s="5">
        <v>45583</v>
      </c>
      <c r="D102" s="4" t="s">
        <v>57</v>
      </c>
      <c r="E102" s="4" t="s">
        <v>137</v>
      </c>
      <c r="F102" s="6">
        <v>4450</v>
      </c>
      <c r="G102" s="6">
        <v>983</v>
      </c>
      <c r="H102" s="6">
        <v>143</v>
      </c>
      <c r="I102" s="6">
        <v>75650</v>
      </c>
      <c r="J102" s="6">
        <f t="shared" si="6"/>
        <v>5588</v>
      </c>
      <c r="K102" s="6">
        <v>75008</v>
      </c>
      <c r="L102" s="6">
        <v>12</v>
      </c>
      <c r="M102" s="16" t="s">
        <v>16</v>
      </c>
      <c r="N102" s="17"/>
      <c r="O102" s="17"/>
      <c r="P102" s="4" t="s">
        <v>28</v>
      </c>
      <c r="Q102">
        <f>IFERROR(
  INDEX(Campaign!$C$2:$C$100, MATCH(M102, Campaign!$E$2:$E$100, 0)),
  0
)</f>
        <v>0</v>
      </c>
      <c r="R102" s="25">
        <f>IFERROR(
  INDEX(Campaign!$C$2:$C$100, MATCH(N102, Campaign!$E$2:$E$100, 0)),
  0
)</f>
        <v>0</v>
      </c>
      <c r="S102">
        <f>IFERROR(
  INDEX(Campaign!$C$2:$C$100, MATCH(O102, Campaign!$E$2:$E$100, 0)),
  0
)</f>
        <v>0</v>
      </c>
      <c r="T102" t="str">
        <f t="shared" si="7"/>
        <v/>
      </c>
      <c r="U102">
        <f t="shared" si="8"/>
        <v>7.3707865168539333E-2</v>
      </c>
      <c r="V102" s="40" t="str">
        <f>IFERROR(
  INDEX(Campaign!$A$2:$A$100, MATCH(M106, Campaign!$E$2:$E$100, 0)),
  ""
)</f>
        <v/>
      </c>
      <c r="W102" t="str">
        <f t="shared" si="9"/>
        <v>Before</v>
      </c>
      <c r="X102" s="19"/>
    </row>
    <row r="103" spans="1:24">
      <c r="A103" s="4" t="s">
        <v>156</v>
      </c>
      <c r="B103" s="4" t="s">
        <v>13</v>
      </c>
      <c r="C103" s="5">
        <v>45553</v>
      </c>
      <c r="D103" s="4" t="s">
        <v>14</v>
      </c>
      <c r="E103" s="4" t="s">
        <v>15</v>
      </c>
      <c r="F103" s="6">
        <v>1000</v>
      </c>
      <c r="G103" s="6">
        <v>978</v>
      </c>
      <c r="H103" s="6">
        <v>162</v>
      </c>
      <c r="I103" s="6">
        <v>6000</v>
      </c>
      <c r="J103" s="6">
        <f t="shared" si="6"/>
        <v>2363</v>
      </c>
      <c r="K103" s="6">
        <v>5221</v>
      </c>
      <c r="L103" s="6">
        <v>223</v>
      </c>
      <c r="M103" s="16" t="s">
        <v>33</v>
      </c>
      <c r="N103" s="17"/>
      <c r="O103" s="17"/>
      <c r="P103" s="4" t="s">
        <v>24</v>
      </c>
      <c r="Q103">
        <f>IFERROR(
  INDEX(Campaign!$C$2:$C$100, MATCH(M103, Campaign!$E$2:$E$100, 0)),
  0
)</f>
        <v>150000</v>
      </c>
      <c r="R103" s="25">
        <f>IFERROR(
  INDEX(Campaign!$C$2:$C$100, MATCH(N103, Campaign!$E$2:$E$100, 0)),
  0
)</f>
        <v>0</v>
      </c>
      <c r="S103">
        <f>IFERROR(
  INDEX(Campaign!$C$2:$C$100, MATCH(O103, Campaign!$E$2:$E$100, 0)),
  0
)</f>
        <v>0</v>
      </c>
      <c r="T103">
        <f t="shared" si="7"/>
        <v>1.5753333333333334E-2</v>
      </c>
      <c r="U103">
        <f t="shared" si="8"/>
        <v>0.35666666666666669</v>
      </c>
      <c r="V103" s="40" t="str">
        <f>IFERROR(
  INDEX(Campaign!$A$2:$A$100, MATCH(M107, Campaign!$E$2:$E$100, 0)),
  ""
)</f>
        <v/>
      </c>
      <c r="W103" t="str">
        <f t="shared" si="9"/>
        <v>Before</v>
      </c>
      <c r="X103" s="19"/>
    </row>
    <row r="104" spans="1:24">
      <c r="A104" s="4" t="s">
        <v>157</v>
      </c>
      <c r="B104" s="4" t="s">
        <v>37</v>
      </c>
      <c r="C104" s="5">
        <v>45454</v>
      </c>
      <c r="D104" s="4" t="s">
        <v>43</v>
      </c>
      <c r="E104" s="4" t="s">
        <v>48</v>
      </c>
      <c r="F104" s="6">
        <v>3689</v>
      </c>
      <c r="G104" s="6">
        <v>48</v>
      </c>
      <c r="H104" s="6">
        <v>306</v>
      </c>
      <c r="I104" s="6">
        <v>40579</v>
      </c>
      <c r="J104" s="6">
        <f t="shared" si="6"/>
        <v>4255</v>
      </c>
      <c r="K104" s="6">
        <v>39588</v>
      </c>
      <c r="L104" s="6">
        <v>212</v>
      </c>
      <c r="M104" s="16" t="s">
        <v>33</v>
      </c>
      <c r="N104" s="17"/>
      <c r="O104" s="17"/>
      <c r="P104" s="4" t="s">
        <v>24</v>
      </c>
      <c r="Q104">
        <f>IFERROR(
  INDEX(Campaign!$C$2:$C$100, MATCH(M104, Campaign!$E$2:$E$100, 0)),
  0
)</f>
        <v>150000</v>
      </c>
      <c r="R104" s="25">
        <f>IFERROR(
  INDEX(Campaign!$C$2:$C$100, MATCH(N104, Campaign!$E$2:$E$100, 0)),
  0
)</f>
        <v>0</v>
      </c>
      <c r="S104">
        <f>IFERROR(
  INDEX(Campaign!$C$2:$C$100, MATCH(O104, Campaign!$E$2:$E$100, 0)),
  0
)</f>
        <v>0</v>
      </c>
      <c r="T104">
        <f t="shared" si="7"/>
        <v>2.8366666666666665E-2</v>
      </c>
      <c r="U104">
        <f t="shared" si="8"/>
        <v>9.9632815002833983E-2</v>
      </c>
      <c r="V104" s="40" t="str">
        <f>IFERROR(
  INDEX(Campaign!$A$2:$A$100, MATCH(M108, Campaign!$E$2:$E$100, 0)),
  ""
)</f>
        <v/>
      </c>
      <c r="W104" t="str">
        <f t="shared" si="9"/>
        <v>Before</v>
      </c>
      <c r="X104" s="19"/>
    </row>
    <row r="105" spans="1:24">
      <c r="A105" s="4" t="s">
        <v>158</v>
      </c>
      <c r="B105" s="4" t="s">
        <v>26</v>
      </c>
      <c r="C105" s="5">
        <v>45739</v>
      </c>
      <c r="D105" s="4" t="s">
        <v>31</v>
      </c>
      <c r="E105" s="4" t="s">
        <v>102</v>
      </c>
      <c r="F105" s="6">
        <v>3655</v>
      </c>
      <c r="G105" s="6">
        <v>568</v>
      </c>
      <c r="H105" s="6">
        <v>286</v>
      </c>
      <c r="I105" s="6">
        <v>32895</v>
      </c>
      <c r="J105" s="6">
        <f t="shared" si="6"/>
        <v>4708</v>
      </c>
      <c r="K105" s="6">
        <v>32015</v>
      </c>
      <c r="L105" s="6">
        <v>199</v>
      </c>
      <c r="M105" s="16" t="s">
        <v>22</v>
      </c>
      <c r="N105" s="17"/>
      <c r="O105" s="17"/>
      <c r="P105" s="4" t="s">
        <v>28</v>
      </c>
      <c r="Q105">
        <f>IFERROR(
  INDEX(Campaign!$C$2:$C$100, MATCH(M105, Campaign!$E$2:$E$100, 0)),
  0
)</f>
        <v>0</v>
      </c>
      <c r="R105" s="25">
        <f>IFERROR(
  INDEX(Campaign!$C$2:$C$100, MATCH(N105, Campaign!$E$2:$E$100, 0)),
  0
)</f>
        <v>0</v>
      </c>
      <c r="S105">
        <f>IFERROR(
  INDEX(Campaign!$C$2:$C$100, MATCH(O105, Campaign!$E$2:$E$100, 0)),
  0
)</f>
        <v>0</v>
      </c>
      <c r="T105" t="str">
        <f t="shared" si="7"/>
        <v/>
      </c>
      <c r="U105">
        <f t="shared" si="8"/>
        <v>0.13707250341997265</v>
      </c>
      <c r="V105" s="40" t="str">
        <f>IFERROR(
  INDEX(Campaign!$A$2:$A$100, MATCH(M109, Campaign!$E$2:$E$100, 0)),
  ""
)</f>
        <v/>
      </c>
      <c r="W105" t="str">
        <f t="shared" si="9"/>
        <v>Before</v>
      </c>
      <c r="X105" s="19"/>
    </row>
    <row r="106" spans="1:24">
      <c r="A106" s="4" t="s">
        <v>159</v>
      </c>
      <c r="B106" s="4" t="s">
        <v>30</v>
      </c>
      <c r="C106" s="5">
        <v>45457</v>
      </c>
      <c r="D106" s="4" t="s">
        <v>38</v>
      </c>
      <c r="E106" s="4" t="s">
        <v>66</v>
      </c>
      <c r="F106" s="6">
        <v>498</v>
      </c>
      <c r="G106" s="6">
        <v>38</v>
      </c>
      <c r="H106" s="6">
        <v>42</v>
      </c>
      <c r="I106" s="6">
        <v>4482</v>
      </c>
      <c r="J106" s="6">
        <f t="shared" si="6"/>
        <v>610</v>
      </c>
      <c r="K106" s="6">
        <v>3647</v>
      </c>
      <c r="L106" s="6">
        <v>32</v>
      </c>
      <c r="M106" s="16" t="s">
        <v>16</v>
      </c>
      <c r="N106" s="17"/>
      <c r="O106" s="17"/>
      <c r="P106" s="4" t="s">
        <v>18</v>
      </c>
      <c r="Q106">
        <f>IFERROR(
  INDEX(Campaign!$C$2:$C$100, MATCH(M106, Campaign!$E$2:$E$100, 0)),
  0
)</f>
        <v>0</v>
      </c>
      <c r="R106" s="25">
        <f>IFERROR(
  INDEX(Campaign!$C$2:$C$100, MATCH(N106, Campaign!$E$2:$E$100, 0)),
  0
)</f>
        <v>0</v>
      </c>
      <c r="S106">
        <f>IFERROR(
  INDEX(Campaign!$C$2:$C$100, MATCH(O106, Campaign!$E$2:$E$100, 0)),
  0
)</f>
        <v>0</v>
      </c>
      <c r="T106" t="str">
        <f t="shared" si="7"/>
        <v/>
      </c>
      <c r="U106">
        <f t="shared" si="8"/>
        <v>0.12896028558679162</v>
      </c>
      <c r="V106" s="40" t="str">
        <f>IFERROR(
  INDEX(Campaign!$A$2:$A$100, MATCH(M110, Campaign!$E$2:$E$100, 0)),
  ""
)</f>
        <v/>
      </c>
      <c r="W106" t="str">
        <f t="shared" si="9"/>
        <v>Before</v>
      </c>
      <c r="X106" s="19"/>
    </row>
    <row r="107" spans="1:24">
      <c r="A107" s="4" t="s">
        <v>160</v>
      </c>
      <c r="B107" s="4" t="s">
        <v>30</v>
      </c>
      <c r="C107" s="5">
        <v>45692</v>
      </c>
      <c r="D107" s="4" t="s">
        <v>43</v>
      </c>
      <c r="E107" s="4" t="s">
        <v>135</v>
      </c>
      <c r="F107" s="6">
        <v>4619</v>
      </c>
      <c r="G107" s="6">
        <v>821</v>
      </c>
      <c r="H107" s="6">
        <v>499</v>
      </c>
      <c r="I107" s="6">
        <v>69285</v>
      </c>
      <c r="J107" s="6">
        <f t="shared" si="6"/>
        <v>6237</v>
      </c>
      <c r="K107" s="6">
        <v>69141</v>
      </c>
      <c r="L107" s="6">
        <v>298</v>
      </c>
      <c r="M107" s="16" t="s">
        <v>22</v>
      </c>
      <c r="N107" s="17"/>
      <c r="O107" s="17"/>
      <c r="P107" s="4" t="s">
        <v>34</v>
      </c>
      <c r="Q107">
        <f>IFERROR(
  INDEX(Campaign!$C$2:$C$100, MATCH(M107, Campaign!$E$2:$E$100, 0)),
  0
)</f>
        <v>0</v>
      </c>
      <c r="R107" s="25">
        <f>IFERROR(
  INDEX(Campaign!$C$2:$C$100, MATCH(N107, Campaign!$E$2:$E$100, 0)),
  0
)</f>
        <v>0</v>
      </c>
      <c r="S107">
        <f>IFERROR(
  INDEX(Campaign!$C$2:$C$100, MATCH(O107, Campaign!$E$2:$E$100, 0)),
  0
)</f>
        <v>0</v>
      </c>
      <c r="T107" t="str">
        <f t="shared" si="7"/>
        <v/>
      </c>
      <c r="U107">
        <f t="shared" si="8"/>
        <v>8.5718409468138843E-2</v>
      </c>
      <c r="V107" s="40">
        <f>IFERROR(
  INDEX(Campaign!$A$2:$A$100, MATCH(M111, Campaign!$E$2:$E$100, 0)),
  ""
)</f>
        <v>45488</v>
      </c>
      <c r="W107" t="str">
        <f t="shared" si="9"/>
        <v>Before</v>
      </c>
      <c r="X107" s="19"/>
    </row>
    <row r="108" spans="1:24">
      <c r="A108" s="4" t="s">
        <v>161</v>
      </c>
      <c r="B108" s="4" t="s">
        <v>26</v>
      </c>
      <c r="C108" s="5">
        <v>45464</v>
      </c>
      <c r="D108" s="4" t="s">
        <v>43</v>
      </c>
      <c r="E108" s="4" t="s">
        <v>44</v>
      </c>
      <c r="F108" s="6">
        <v>4832</v>
      </c>
      <c r="G108" s="6">
        <v>893</v>
      </c>
      <c r="H108" s="6">
        <v>10</v>
      </c>
      <c r="I108" s="6">
        <v>91808</v>
      </c>
      <c r="J108" s="6">
        <f t="shared" si="6"/>
        <v>5917</v>
      </c>
      <c r="K108" s="6">
        <v>91296</v>
      </c>
      <c r="L108" s="6">
        <v>182</v>
      </c>
      <c r="M108" s="16" t="s">
        <v>22</v>
      </c>
      <c r="N108" s="17"/>
      <c r="O108" s="17"/>
      <c r="P108" s="7"/>
      <c r="Q108">
        <f>IFERROR(
  INDEX(Campaign!$C$2:$C$100, MATCH(M108, Campaign!$E$2:$E$100, 0)),
  0
)</f>
        <v>0</v>
      </c>
      <c r="R108" s="25">
        <f>IFERROR(
  INDEX(Campaign!$C$2:$C$100, MATCH(N108, Campaign!$E$2:$E$100, 0)),
  0
)</f>
        <v>0</v>
      </c>
      <c r="S108">
        <f>IFERROR(
  INDEX(Campaign!$C$2:$C$100, MATCH(O108, Campaign!$E$2:$E$100, 0)),
  0
)</f>
        <v>0</v>
      </c>
      <c r="T108" t="str">
        <f t="shared" si="7"/>
        <v/>
      </c>
      <c r="U108">
        <f t="shared" si="8"/>
        <v>6.2467323109097243E-2</v>
      </c>
      <c r="V108" s="40" t="str">
        <f>IFERROR(
  INDEX(Campaign!$A$2:$A$100, MATCH(M112, Campaign!$E$2:$E$100, 0)),
  ""
)</f>
        <v/>
      </c>
      <c r="W108" t="str">
        <f t="shared" si="9"/>
        <v>Before</v>
      </c>
      <c r="X108" s="19"/>
    </row>
    <row r="109" spans="1:24">
      <c r="A109" s="4" t="s">
        <v>162</v>
      </c>
      <c r="B109" s="4" t="s">
        <v>13</v>
      </c>
      <c r="C109" s="5">
        <v>45741</v>
      </c>
      <c r="D109" s="4" t="s">
        <v>57</v>
      </c>
      <c r="E109" s="4" t="s">
        <v>96</v>
      </c>
      <c r="F109" s="6">
        <v>4050</v>
      </c>
      <c r="G109" s="6">
        <v>871</v>
      </c>
      <c r="H109" s="6">
        <v>347</v>
      </c>
      <c r="I109" s="6">
        <v>52650</v>
      </c>
      <c r="J109" s="6">
        <f t="shared" si="6"/>
        <v>5477</v>
      </c>
      <c r="K109" s="6">
        <v>51755</v>
      </c>
      <c r="L109" s="6">
        <v>209</v>
      </c>
      <c r="M109" s="16" t="s">
        <v>22</v>
      </c>
      <c r="N109" s="17"/>
      <c r="O109" s="17"/>
      <c r="P109" s="4" t="s">
        <v>24</v>
      </c>
      <c r="Q109">
        <f>IFERROR(
  INDEX(Campaign!$C$2:$C$100, MATCH(M109, Campaign!$E$2:$E$100, 0)),
  0
)</f>
        <v>0</v>
      </c>
      <c r="R109" s="25">
        <f>IFERROR(
  INDEX(Campaign!$C$2:$C$100, MATCH(N109, Campaign!$E$2:$E$100, 0)),
  0
)</f>
        <v>0</v>
      </c>
      <c r="S109">
        <f>IFERROR(
  INDEX(Campaign!$C$2:$C$100, MATCH(O109, Campaign!$E$2:$E$100, 0)),
  0
)</f>
        <v>0</v>
      </c>
      <c r="T109" t="str">
        <f t="shared" si="7"/>
        <v/>
      </c>
      <c r="U109">
        <f t="shared" si="8"/>
        <v>0.10005698005698006</v>
      </c>
      <c r="V109" s="40" t="str">
        <f>IFERROR(
  INDEX(Campaign!$A$2:$A$100, MATCH(M113, Campaign!$E$2:$E$100, 0)),
  ""
)</f>
        <v/>
      </c>
      <c r="W109" t="str">
        <f t="shared" si="9"/>
        <v>Before</v>
      </c>
      <c r="X109" s="19"/>
    </row>
    <row r="110" spans="1:24">
      <c r="A110" s="4" t="s">
        <v>163</v>
      </c>
      <c r="B110" s="4" t="s">
        <v>13</v>
      </c>
      <c r="C110" s="5">
        <v>45512</v>
      </c>
      <c r="D110" s="4" t="s">
        <v>31</v>
      </c>
      <c r="E110" s="4" t="s">
        <v>99</v>
      </c>
      <c r="F110" s="6">
        <v>3649</v>
      </c>
      <c r="G110" s="6">
        <v>215</v>
      </c>
      <c r="H110" s="6">
        <v>413</v>
      </c>
      <c r="I110" s="6">
        <v>25543</v>
      </c>
      <c r="J110" s="6">
        <f t="shared" si="6"/>
        <v>4444</v>
      </c>
      <c r="K110" s="6">
        <v>24963</v>
      </c>
      <c r="L110" s="6">
        <v>167</v>
      </c>
      <c r="M110" s="16" t="s">
        <v>16</v>
      </c>
      <c r="N110" s="17"/>
      <c r="O110" s="17"/>
      <c r="P110" s="4" t="s">
        <v>28</v>
      </c>
      <c r="Q110">
        <f>IFERROR(
  INDEX(Campaign!$C$2:$C$100, MATCH(M110, Campaign!$E$2:$E$100, 0)),
  0
)</f>
        <v>0</v>
      </c>
      <c r="R110" s="25">
        <f>IFERROR(
  INDEX(Campaign!$C$2:$C$100, MATCH(N110, Campaign!$E$2:$E$100, 0)),
  0
)</f>
        <v>0</v>
      </c>
      <c r="S110">
        <f>IFERROR(
  INDEX(Campaign!$C$2:$C$100, MATCH(O110, Campaign!$E$2:$E$100, 0)),
  0
)</f>
        <v>0</v>
      </c>
      <c r="T110" t="str">
        <f t="shared" si="7"/>
        <v/>
      </c>
      <c r="U110">
        <f t="shared" si="8"/>
        <v>0.16744313510550835</v>
      </c>
      <c r="V110" s="40">
        <f>IFERROR(
  INDEX(Campaign!$A$2:$A$100, MATCH(M114, Campaign!$E$2:$E$100, 0)),
  ""
)</f>
        <v>45488</v>
      </c>
      <c r="W110" t="str">
        <f t="shared" si="9"/>
        <v>Before</v>
      </c>
      <c r="X110" s="19"/>
    </row>
    <row r="111" spans="1:24">
      <c r="A111" s="4" t="s">
        <v>164</v>
      </c>
      <c r="B111" s="4" t="s">
        <v>30</v>
      </c>
      <c r="C111" s="5">
        <v>45502</v>
      </c>
      <c r="D111" s="4" t="s">
        <v>14</v>
      </c>
      <c r="E111" s="4" t="s">
        <v>62</v>
      </c>
      <c r="F111" s="6">
        <v>3523</v>
      </c>
      <c r="G111" s="6">
        <v>753</v>
      </c>
      <c r="H111" s="6">
        <v>482</v>
      </c>
      <c r="I111" s="6">
        <v>38753</v>
      </c>
      <c r="J111" s="6">
        <f t="shared" si="6"/>
        <v>5028</v>
      </c>
      <c r="K111" s="6">
        <v>38579</v>
      </c>
      <c r="L111" s="6">
        <v>270</v>
      </c>
      <c r="M111" s="16" t="s">
        <v>33</v>
      </c>
      <c r="N111" s="17"/>
      <c r="O111" s="17"/>
      <c r="P111" s="4" t="s">
        <v>24</v>
      </c>
      <c r="Q111">
        <f>IFERROR(
  INDEX(Campaign!$C$2:$C$100, MATCH(M111, Campaign!$E$2:$E$100, 0)),
  0
)</f>
        <v>150000</v>
      </c>
      <c r="R111" s="25">
        <f>IFERROR(
  INDEX(Campaign!$C$2:$C$100, MATCH(N111, Campaign!$E$2:$E$100, 0)),
  0
)</f>
        <v>0</v>
      </c>
      <c r="S111">
        <f>IFERROR(
  INDEX(Campaign!$C$2:$C$100, MATCH(O111, Campaign!$E$2:$E$100, 0)),
  0
)</f>
        <v>0</v>
      </c>
      <c r="T111">
        <f t="shared" si="7"/>
        <v>3.3520000000000001E-2</v>
      </c>
      <c r="U111">
        <f t="shared" si="8"/>
        <v>0.12277759141227776</v>
      </c>
      <c r="V111" s="40" t="str">
        <f>IFERROR(
  INDEX(Campaign!$A$2:$A$100, MATCH(M115, Campaign!$E$2:$E$100, 0)),
  ""
)</f>
        <v/>
      </c>
      <c r="W111" t="str">
        <f t="shared" si="9"/>
        <v>Before</v>
      </c>
      <c r="X111" s="19"/>
    </row>
    <row r="112" spans="1:24">
      <c r="A112" s="4" t="s">
        <v>165</v>
      </c>
      <c r="B112" s="4" t="s">
        <v>26</v>
      </c>
      <c r="C112" s="5">
        <v>45619</v>
      </c>
      <c r="D112" s="4" t="s">
        <v>43</v>
      </c>
      <c r="E112" s="4" t="s">
        <v>44</v>
      </c>
      <c r="F112" s="6">
        <v>2719</v>
      </c>
      <c r="G112" s="6">
        <v>17</v>
      </c>
      <c r="H112" s="6">
        <v>285</v>
      </c>
      <c r="I112" s="6">
        <v>40785</v>
      </c>
      <c r="J112" s="6">
        <f t="shared" si="6"/>
        <v>3061</v>
      </c>
      <c r="K112" s="6">
        <v>40281</v>
      </c>
      <c r="L112" s="6">
        <v>40</v>
      </c>
      <c r="M112" s="16" t="s">
        <v>22</v>
      </c>
      <c r="N112" s="17"/>
      <c r="O112" s="17"/>
      <c r="P112" s="4" t="s">
        <v>24</v>
      </c>
      <c r="Q112">
        <f>IFERROR(
  INDEX(Campaign!$C$2:$C$100, MATCH(M112, Campaign!$E$2:$E$100, 0)),
  0
)</f>
        <v>0</v>
      </c>
      <c r="R112" s="25">
        <f>IFERROR(
  INDEX(Campaign!$C$2:$C$100, MATCH(N112, Campaign!$E$2:$E$100, 0)),
  0
)</f>
        <v>0</v>
      </c>
      <c r="S112">
        <f>IFERROR(
  INDEX(Campaign!$C$2:$C$100, MATCH(O112, Campaign!$E$2:$E$100, 0)),
  0
)</f>
        <v>0</v>
      </c>
      <c r="T112" t="str">
        <f t="shared" si="7"/>
        <v/>
      </c>
      <c r="U112">
        <f t="shared" si="8"/>
        <v>7.4071349760941527E-2</v>
      </c>
      <c r="V112" s="40" t="str">
        <f>IFERROR(
  INDEX(Campaign!$A$2:$A$100, MATCH(M116, Campaign!$E$2:$E$100, 0)),
  ""
)</f>
        <v/>
      </c>
      <c r="W112" t="str">
        <f t="shared" si="9"/>
        <v>Before</v>
      </c>
      <c r="X112" s="19"/>
    </row>
    <row r="113" spans="1:24">
      <c r="A113" s="4" t="s">
        <v>166</v>
      </c>
      <c r="B113" s="4" t="s">
        <v>13</v>
      </c>
      <c r="C113" s="5">
        <v>45570</v>
      </c>
      <c r="D113" s="4" t="s">
        <v>31</v>
      </c>
      <c r="E113" s="4" t="s">
        <v>99</v>
      </c>
      <c r="F113" s="6">
        <v>1957</v>
      </c>
      <c r="G113" s="6">
        <v>877</v>
      </c>
      <c r="H113" s="6">
        <v>238</v>
      </c>
      <c r="I113" s="6">
        <v>17613</v>
      </c>
      <c r="J113" s="6">
        <f t="shared" si="6"/>
        <v>3369</v>
      </c>
      <c r="K113" s="6">
        <v>16865</v>
      </c>
      <c r="L113" s="6">
        <v>297</v>
      </c>
      <c r="M113" s="16" t="s">
        <v>16</v>
      </c>
      <c r="N113" s="17"/>
      <c r="O113" s="17"/>
      <c r="P113" s="4" t="s">
        <v>28</v>
      </c>
      <c r="Q113">
        <f>IFERROR(
  INDEX(Campaign!$C$2:$C$100, MATCH(M113, Campaign!$E$2:$E$100, 0)),
  0
)</f>
        <v>0</v>
      </c>
      <c r="R113" s="25">
        <f>IFERROR(
  INDEX(Campaign!$C$2:$C$100, MATCH(N113, Campaign!$E$2:$E$100, 0)),
  0
)</f>
        <v>0</v>
      </c>
      <c r="S113">
        <f>IFERROR(
  INDEX(Campaign!$C$2:$C$100, MATCH(O113, Campaign!$E$2:$E$100, 0)),
  0
)</f>
        <v>0</v>
      </c>
      <c r="T113" t="str">
        <f t="shared" si="7"/>
        <v/>
      </c>
      <c r="U113">
        <f t="shared" si="8"/>
        <v>0.17441662408448305</v>
      </c>
      <c r="V113" s="40" t="str">
        <f>IFERROR(
  INDEX(Campaign!$A$2:$A$100, MATCH(M117, Campaign!$E$2:$E$100, 0)),
  ""
)</f>
        <v/>
      </c>
      <c r="W113" t="str">
        <f t="shared" si="9"/>
        <v>Before</v>
      </c>
      <c r="X113" s="19"/>
    </row>
    <row r="114" spans="1:24">
      <c r="A114" s="4" t="s">
        <v>167</v>
      </c>
      <c r="B114" s="4" t="s">
        <v>13</v>
      </c>
      <c r="C114" s="5">
        <v>45567</v>
      </c>
      <c r="D114" s="4" t="s">
        <v>38</v>
      </c>
      <c r="E114" s="4" t="s">
        <v>41</v>
      </c>
      <c r="F114" s="6">
        <v>4419</v>
      </c>
      <c r="G114" s="6">
        <v>236</v>
      </c>
      <c r="H114" s="6">
        <v>369</v>
      </c>
      <c r="I114" s="6">
        <v>44190</v>
      </c>
      <c r="J114" s="6">
        <f t="shared" si="6"/>
        <v>5034</v>
      </c>
      <c r="K114" s="6">
        <v>43582</v>
      </c>
      <c r="L114" s="6">
        <v>10</v>
      </c>
      <c r="M114" s="16" t="s">
        <v>33</v>
      </c>
      <c r="N114" s="17"/>
      <c r="O114" s="17"/>
      <c r="P114" s="4" t="s">
        <v>18</v>
      </c>
      <c r="Q114">
        <f>IFERROR(
  INDEX(Campaign!$C$2:$C$100, MATCH(M114, Campaign!$E$2:$E$100, 0)),
  0
)</f>
        <v>150000</v>
      </c>
      <c r="R114" s="25">
        <f>IFERROR(
  INDEX(Campaign!$C$2:$C$100, MATCH(N114, Campaign!$E$2:$E$100, 0)),
  0
)</f>
        <v>0</v>
      </c>
      <c r="S114">
        <f>IFERROR(
  INDEX(Campaign!$C$2:$C$100, MATCH(O114, Campaign!$E$2:$E$100, 0)),
  0
)</f>
        <v>0</v>
      </c>
      <c r="T114">
        <f t="shared" si="7"/>
        <v>3.356E-2</v>
      </c>
      <c r="U114">
        <f t="shared" si="8"/>
        <v>0.11369088028965829</v>
      </c>
      <c r="V114" s="40">
        <f>IFERROR(
  INDEX(Campaign!$A$2:$A$100, MATCH(M118, Campaign!$E$2:$E$100, 0)),
  ""
)</f>
        <v>45488</v>
      </c>
      <c r="W114" t="str">
        <f t="shared" si="9"/>
        <v>Before</v>
      </c>
      <c r="X114" s="19"/>
    </row>
    <row r="115" spans="1:24">
      <c r="A115" s="4" t="s">
        <v>168</v>
      </c>
      <c r="B115" s="4" t="s">
        <v>13</v>
      </c>
      <c r="C115" s="5">
        <v>45610</v>
      </c>
      <c r="D115" s="4" t="s">
        <v>31</v>
      </c>
      <c r="E115" s="4" t="s">
        <v>99</v>
      </c>
      <c r="F115" s="6">
        <v>4000</v>
      </c>
      <c r="G115" s="6">
        <v>689</v>
      </c>
      <c r="H115" s="6">
        <v>488</v>
      </c>
      <c r="I115" s="6">
        <v>40000</v>
      </c>
      <c r="J115" s="6">
        <f t="shared" si="6"/>
        <v>5221</v>
      </c>
      <c r="K115" s="6">
        <v>39569</v>
      </c>
      <c r="L115" s="6">
        <v>44</v>
      </c>
      <c r="M115" s="16" t="s">
        <v>16</v>
      </c>
      <c r="N115" s="17"/>
      <c r="O115" s="17"/>
      <c r="P115" s="4" t="s">
        <v>18</v>
      </c>
      <c r="Q115">
        <f>IFERROR(
  INDEX(Campaign!$C$2:$C$100, MATCH(M115, Campaign!$E$2:$E$100, 0)),
  0
)</f>
        <v>0</v>
      </c>
      <c r="R115" s="25">
        <f>IFERROR(
  INDEX(Campaign!$C$2:$C$100, MATCH(N115, Campaign!$E$2:$E$100, 0)),
  0
)</f>
        <v>0</v>
      </c>
      <c r="S115">
        <f>IFERROR(
  INDEX(Campaign!$C$2:$C$100, MATCH(O115, Campaign!$E$2:$E$100, 0)),
  0
)</f>
        <v>0</v>
      </c>
      <c r="T115" t="str">
        <f t="shared" si="7"/>
        <v/>
      </c>
      <c r="U115">
        <f t="shared" si="8"/>
        <v>0.12942500000000001</v>
      </c>
      <c r="V115" s="40" t="str">
        <f>IFERROR(
  INDEX(Campaign!$A$2:$A$100, MATCH(M119, Campaign!$E$2:$E$100, 0)),
  ""
)</f>
        <v/>
      </c>
      <c r="W115" t="str">
        <f t="shared" si="9"/>
        <v>Before</v>
      </c>
      <c r="X115" s="19"/>
    </row>
    <row r="116" spans="1:24">
      <c r="A116" s="4" t="s">
        <v>169</v>
      </c>
      <c r="B116" s="4" t="s">
        <v>13</v>
      </c>
      <c r="C116" s="5">
        <v>45788</v>
      </c>
      <c r="D116" s="4" t="s">
        <v>43</v>
      </c>
      <c r="E116" s="4" t="s">
        <v>89</v>
      </c>
      <c r="F116" s="6">
        <v>2493</v>
      </c>
      <c r="G116" s="6">
        <v>97</v>
      </c>
      <c r="H116" s="6">
        <v>44</v>
      </c>
      <c r="I116" s="6">
        <v>42381</v>
      </c>
      <c r="J116" s="6">
        <f t="shared" si="6"/>
        <v>2876</v>
      </c>
      <c r="K116" s="6">
        <v>41991</v>
      </c>
      <c r="L116" s="6">
        <v>242</v>
      </c>
      <c r="M116" s="16" t="s">
        <v>22</v>
      </c>
      <c r="N116" s="17" t="s">
        <v>17</v>
      </c>
      <c r="O116" s="17"/>
      <c r="P116" s="4" t="s">
        <v>34</v>
      </c>
      <c r="Q116">
        <f>IFERROR(
  INDEX(Campaign!$C$2:$C$100, MATCH(M116, Campaign!$E$2:$E$100, 0)),
  0
)</f>
        <v>0</v>
      </c>
      <c r="R116" s="25">
        <f>IFERROR(
  INDEX(Campaign!$C$2:$C$100, MATCH(N116, Campaign!$E$2:$E$100, 0)),
  0
)</f>
        <v>200000</v>
      </c>
      <c r="S116">
        <f>IFERROR(
  INDEX(Campaign!$C$2:$C$100, MATCH(O116, Campaign!$E$2:$E$100, 0)),
  0
)</f>
        <v>0</v>
      </c>
      <c r="T116">
        <f t="shared" si="7"/>
        <v>1.438E-2</v>
      </c>
      <c r="U116">
        <f t="shared" si="8"/>
        <v>6.2150491965739366E-2</v>
      </c>
      <c r="V116" s="40" t="str">
        <f>IFERROR(
  INDEX(Campaign!$A$2:$A$100, MATCH(M120, Campaign!$E$2:$E$100, 0)),
  ""
)</f>
        <v/>
      </c>
      <c r="W116" t="str">
        <f t="shared" si="9"/>
        <v>Before</v>
      </c>
      <c r="X116" s="19"/>
    </row>
    <row r="117" spans="1:24">
      <c r="A117" s="4" t="s">
        <v>170</v>
      </c>
      <c r="B117" s="4" t="s">
        <v>26</v>
      </c>
      <c r="C117" s="5">
        <v>45734</v>
      </c>
      <c r="D117" s="4" t="s">
        <v>14</v>
      </c>
      <c r="E117" s="4" t="s">
        <v>27</v>
      </c>
      <c r="F117" s="6">
        <v>3704</v>
      </c>
      <c r="G117" s="6">
        <v>186</v>
      </c>
      <c r="H117" s="6">
        <v>458</v>
      </c>
      <c r="I117" s="6">
        <v>25928</v>
      </c>
      <c r="J117" s="6">
        <f t="shared" si="6"/>
        <v>4479</v>
      </c>
      <c r="K117" s="6">
        <v>25081</v>
      </c>
      <c r="L117" s="6">
        <v>131</v>
      </c>
      <c r="M117" s="16" t="s">
        <v>22</v>
      </c>
      <c r="N117" s="17"/>
      <c r="O117" s="17"/>
      <c r="P117" s="7"/>
      <c r="Q117">
        <f>IFERROR(
  INDEX(Campaign!$C$2:$C$100, MATCH(M117, Campaign!$E$2:$E$100, 0)),
  0
)</f>
        <v>0</v>
      </c>
      <c r="R117" s="25">
        <f>IFERROR(
  INDEX(Campaign!$C$2:$C$100, MATCH(N117, Campaign!$E$2:$E$100, 0)),
  0
)</f>
        <v>0</v>
      </c>
      <c r="S117">
        <f>IFERROR(
  INDEX(Campaign!$C$2:$C$100, MATCH(O117, Campaign!$E$2:$E$100, 0)),
  0
)</f>
        <v>0</v>
      </c>
      <c r="T117" t="str">
        <f t="shared" si="7"/>
        <v/>
      </c>
      <c r="U117">
        <f t="shared" si="8"/>
        <v>0.16769515581610614</v>
      </c>
      <c r="V117" s="40">
        <f>IFERROR(
  INDEX(Campaign!$A$2:$A$100, MATCH(M121, Campaign!$E$2:$E$100, 0)),
  ""
)</f>
        <v>45488</v>
      </c>
      <c r="W117" t="str">
        <f t="shared" si="9"/>
        <v>Before</v>
      </c>
      <c r="X117" s="19"/>
    </row>
    <row r="118" spans="1:24">
      <c r="A118" s="4" t="s">
        <v>171</v>
      </c>
      <c r="B118" s="4" t="s">
        <v>13</v>
      </c>
      <c r="C118" s="5">
        <v>45600</v>
      </c>
      <c r="D118" s="4" t="s">
        <v>43</v>
      </c>
      <c r="E118" s="4" t="s">
        <v>89</v>
      </c>
      <c r="F118" s="6">
        <v>1606</v>
      </c>
      <c r="G118" s="6">
        <v>451</v>
      </c>
      <c r="H118" s="6">
        <v>405</v>
      </c>
      <c r="I118" s="6">
        <v>20878</v>
      </c>
      <c r="J118" s="6">
        <f t="shared" si="6"/>
        <v>2681</v>
      </c>
      <c r="K118" s="6">
        <v>20190</v>
      </c>
      <c r="L118" s="6">
        <v>219</v>
      </c>
      <c r="M118" s="16" t="s">
        <v>33</v>
      </c>
      <c r="N118" s="17"/>
      <c r="O118" s="17"/>
      <c r="P118" s="4" t="s">
        <v>34</v>
      </c>
      <c r="Q118">
        <f>IFERROR(
  INDEX(Campaign!$C$2:$C$100, MATCH(M118, Campaign!$E$2:$E$100, 0)),
  0
)</f>
        <v>150000</v>
      </c>
      <c r="R118" s="25">
        <f>IFERROR(
  INDEX(Campaign!$C$2:$C$100, MATCH(N118, Campaign!$E$2:$E$100, 0)),
  0
)</f>
        <v>0</v>
      </c>
      <c r="S118">
        <f>IFERROR(
  INDEX(Campaign!$C$2:$C$100, MATCH(O118, Campaign!$E$2:$E$100, 0)),
  0
)</f>
        <v>0</v>
      </c>
      <c r="T118">
        <f t="shared" si="7"/>
        <v>1.7873333333333335E-2</v>
      </c>
      <c r="U118">
        <f t="shared" si="8"/>
        <v>0.11792317271769326</v>
      </c>
      <c r="V118" s="40" t="str">
        <f>IFERROR(
  INDEX(Campaign!$A$2:$A$100, MATCH(M122, Campaign!$E$2:$E$100, 0)),
  ""
)</f>
        <v/>
      </c>
      <c r="W118" t="str">
        <f t="shared" si="9"/>
        <v>Before</v>
      </c>
      <c r="X118" s="19"/>
    </row>
    <row r="119" spans="1:24">
      <c r="A119" s="4" t="s">
        <v>172</v>
      </c>
      <c r="B119" s="4" t="s">
        <v>37</v>
      </c>
      <c r="C119" s="5">
        <v>45600</v>
      </c>
      <c r="D119" s="4" t="s">
        <v>43</v>
      </c>
      <c r="E119" s="4" t="s">
        <v>48</v>
      </c>
      <c r="F119" s="6">
        <v>4551</v>
      </c>
      <c r="G119" s="6">
        <v>714</v>
      </c>
      <c r="H119" s="6">
        <v>207</v>
      </c>
      <c r="I119" s="6">
        <v>68265</v>
      </c>
      <c r="J119" s="6">
        <f t="shared" si="6"/>
        <v>5529</v>
      </c>
      <c r="K119" s="6">
        <v>67754</v>
      </c>
      <c r="L119" s="6">
        <v>57</v>
      </c>
      <c r="M119" s="16" t="s">
        <v>16</v>
      </c>
      <c r="N119" s="17"/>
      <c r="O119" s="17"/>
      <c r="P119" s="4" t="s">
        <v>28</v>
      </c>
      <c r="Q119">
        <f>IFERROR(
  INDEX(Campaign!$C$2:$C$100, MATCH(M119, Campaign!$E$2:$E$100, 0)),
  0
)</f>
        <v>0</v>
      </c>
      <c r="R119" s="25">
        <f>IFERROR(
  INDEX(Campaign!$C$2:$C$100, MATCH(N119, Campaign!$E$2:$E$100, 0)),
  0
)</f>
        <v>0</v>
      </c>
      <c r="S119">
        <f>IFERROR(
  INDEX(Campaign!$C$2:$C$100, MATCH(O119, Campaign!$E$2:$E$100, 0)),
  0
)</f>
        <v>0</v>
      </c>
      <c r="T119" t="str">
        <f t="shared" si="7"/>
        <v/>
      </c>
      <c r="U119">
        <f t="shared" si="8"/>
        <v>8.0158206987475278E-2</v>
      </c>
      <c r="V119" s="40">
        <f>IFERROR(
  INDEX(Campaign!$A$2:$A$100, MATCH(M123, Campaign!$E$2:$E$100, 0)),
  ""
)</f>
        <v>45488</v>
      </c>
      <c r="W119" t="str">
        <f t="shared" si="9"/>
        <v>Before</v>
      </c>
      <c r="X119" s="19"/>
    </row>
    <row r="120" spans="1:24">
      <c r="A120" s="4" t="s">
        <v>173</v>
      </c>
      <c r="B120" s="4" t="s">
        <v>30</v>
      </c>
      <c r="C120" s="5">
        <v>45695</v>
      </c>
      <c r="D120" s="4" t="s">
        <v>14</v>
      </c>
      <c r="E120" s="4" t="s">
        <v>62</v>
      </c>
      <c r="F120" s="6">
        <v>1970</v>
      </c>
      <c r="G120" s="6">
        <v>675</v>
      </c>
      <c r="H120" s="6">
        <v>478</v>
      </c>
      <c r="I120" s="6">
        <v>9850</v>
      </c>
      <c r="J120" s="6">
        <f t="shared" si="6"/>
        <v>3240</v>
      </c>
      <c r="K120" s="6">
        <v>8924</v>
      </c>
      <c r="L120" s="6">
        <v>117</v>
      </c>
      <c r="M120" s="16" t="s">
        <v>16</v>
      </c>
      <c r="N120" s="17"/>
      <c r="O120" s="17"/>
      <c r="P120" s="7"/>
      <c r="Q120">
        <f>IFERROR(
  INDEX(Campaign!$C$2:$C$100, MATCH(M120, Campaign!$E$2:$E$100, 0)),
  0
)</f>
        <v>0</v>
      </c>
      <c r="R120" s="25">
        <f>IFERROR(
  INDEX(Campaign!$C$2:$C$100, MATCH(N120, Campaign!$E$2:$E$100, 0)),
  0
)</f>
        <v>0</v>
      </c>
      <c r="S120">
        <f>IFERROR(
  INDEX(Campaign!$C$2:$C$100, MATCH(O120, Campaign!$E$2:$E$100, 0)),
  0
)</f>
        <v>0</v>
      </c>
      <c r="T120" t="str">
        <f t="shared" si="7"/>
        <v/>
      </c>
      <c r="U120">
        <f t="shared" si="8"/>
        <v>0.31705583756345179</v>
      </c>
      <c r="V120" s="40">
        <f>IFERROR(
  INDEX(Campaign!$A$2:$A$100, MATCH(M124, Campaign!$E$2:$E$100, 0)),
  ""
)</f>
        <v>45488</v>
      </c>
      <c r="W120" t="str">
        <f t="shared" si="9"/>
        <v>Before</v>
      </c>
      <c r="X120" s="19"/>
    </row>
    <row r="121" spans="1:24">
      <c r="A121" s="4" t="s">
        <v>174</v>
      </c>
      <c r="B121" s="4" t="s">
        <v>37</v>
      </c>
      <c r="C121" s="5">
        <v>45586</v>
      </c>
      <c r="D121" s="4" t="s">
        <v>31</v>
      </c>
      <c r="E121" s="4" t="s">
        <v>55</v>
      </c>
      <c r="F121" s="6">
        <v>780</v>
      </c>
      <c r="G121" s="6">
        <v>928</v>
      </c>
      <c r="H121" s="6">
        <v>301</v>
      </c>
      <c r="I121" s="6">
        <v>8580</v>
      </c>
      <c r="J121" s="6">
        <f t="shared" si="6"/>
        <v>2100</v>
      </c>
      <c r="K121" s="6">
        <v>8081</v>
      </c>
      <c r="L121" s="6">
        <v>91</v>
      </c>
      <c r="M121" s="16" t="s">
        <v>33</v>
      </c>
      <c r="N121" s="17"/>
      <c r="O121" s="17"/>
      <c r="P121" s="4" t="s">
        <v>28</v>
      </c>
      <c r="Q121">
        <f>IFERROR(
  INDEX(Campaign!$C$2:$C$100, MATCH(M121, Campaign!$E$2:$E$100, 0)),
  0
)</f>
        <v>150000</v>
      </c>
      <c r="R121" s="25">
        <f>IFERROR(
  INDEX(Campaign!$C$2:$C$100, MATCH(N121, Campaign!$E$2:$E$100, 0)),
  0
)</f>
        <v>0</v>
      </c>
      <c r="S121">
        <f>IFERROR(
  INDEX(Campaign!$C$2:$C$100, MATCH(O121, Campaign!$E$2:$E$100, 0)),
  0
)</f>
        <v>0</v>
      </c>
      <c r="T121">
        <f t="shared" si="7"/>
        <v>1.4E-2</v>
      </c>
      <c r="U121">
        <f t="shared" si="8"/>
        <v>0.23414918414918415</v>
      </c>
      <c r="V121" s="40">
        <f>IFERROR(
  INDEX(Campaign!$A$2:$A$100, MATCH(M125, Campaign!$E$2:$E$100, 0)),
  ""
)</f>
        <v>45488</v>
      </c>
      <c r="W121" t="str">
        <f t="shared" si="9"/>
        <v>Before</v>
      </c>
      <c r="X121" s="19"/>
    </row>
    <row r="122" spans="1:24">
      <c r="A122" s="4" t="s">
        <v>175</v>
      </c>
      <c r="B122" s="4" t="s">
        <v>30</v>
      </c>
      <c r="C122" s="5">
        <v>45502</v>
      </c>
      <c r="D122" s="4" t="s">
        <v>31</v>
      </c>
      <c r="E122" s="4" t="s">
        <v>32</v>
      </c>
      <c r="F122" s="6">
        <v>498</v>
      </c>
      <c r="G122" s="6">
        <v>701</v>
      </c>
      <c r="H122" s="6">
        <v>412</v>
      </c>
      <c r="I122" s="6">
        <v>4980</v>
      </c>
      <c r="J122" s="6">
        <f t="shared" si="6"/>
        <v>1796</v>
      </c>
      <c r="K122" s="6">
        <v>4185</v>
      </c>
      <c r="L122" s="6">
        <v>185</v>
      </c>
      <c r="M122" s="16" t="s">
        <v>16</v>
      </c>
      <c r="N122" s="17"/>
      <c r="O122" s="17"/>
      <c r="P122" s="7"/>
      <c r="Q122">
        <f>IFERROR(
  INDEX(Campaign!$C$2:$C$100, MATCH(M122, Campaign!$E$2:$E$100, 0)),
  0
)</f>
        <v>0</v>
      </c>
      <c r="R122" s="25">
        <f>IFERROR(
  INDEX(Campaign!$C$2:$C$100, MATCH(N122, Campaign!$E$2:$E$100, 0)),
  0
)</f>
        <v>0</v>
      </c>
      <c r="S122">
        <f>IFERROR(
  INDEX(Campaign!$C$2:$C$100, MATCH(O122, Campaign!$E$2:$E$100, 0)),
  0
)</f>
        <v>0</v>
      </c>
      <c r="T122" t="str">
        <f t="shared" si="7"/>
        <v/>
      </c>
      <c r="U122">
        <f t="shared" si="8"/>
        <v>0.32349397590361445</v>
      </c>
      <c r="V122" s="40" t="str">
        <f>IFERROR(
  INDEX(Campaign!$A$2:$A$100, MATCH(M126, Campaign!$E$2:$E$100, 0)),
  ""
)</f>
        <v/>
      </c>
      <c r="W122" t="str">
        <f t="shared" si="9"/>
        <v>Before</v>
      </c>
      <c r="X122" s="19"/>
    </row>
    <row r="123" spans="1:24">
      <c r="A123" s="4" t="s">
        <v>176</v>
      </c>
      <c r="B123" s="4" t="s">
        <v>30</v>
      </c>
      <c r="C123" s="5">
        <v>45567</v>
      </c>
      <c r="D123" s="4" t="s">
        <v>20</v>
      </c>
      <c r="E123" s="4" t="s">
        <v>79</v>
      </c>
      <c r="F123" s="6">
        <v>3432</v>
      </c>
      <c r="G123" s="6">
        <v>869</v>
      </c>
      <c r="H123" s="6">
        <v>123</v>
      </c>
      <c r="I123" s="6">
        <v>54912</v>
      </c>
      <c r="J123" s="6">
        <f t="shared" si="6"/>
        <v>4688</v>
      </c>
      <c r="K123" s="6">
        <v>53916</v>
      </c>
      <c r="L123" s="6">
        <v>264</v>
      </c>
      <c r="M123" s="16" t="s">
        <v>33</v>
      </c>
      <c r="N123" s="17"/>
      <c r="O123" s="17"/>
      <c r="P123" s="4" t="s">
        <v>24</v>
      </c>
      <c r="Q123">
        <f>IFERROR(
  INDEX(Campaign!$C$2:$C$100, MATCH(M123, Campaign!$E$2:$E$100, 0)),
  0
)</f>
        <v>150000</v>
      </c>
      <c r="R123" s="25">
        <f>IFERROR(
  INDEX(Campaign!$C$2:$C$100, MATCH(N123, Campaign!$E$2:$E$100, 0)),
  0
)</f>
        <v>0</v>
      </c>
      <c r="S123">
        <f>IFERROR(
  INDEX(Campaign!$C$2:$C$100, MATCH(O123, Campaign!$E$2:$E$100, 0)),
  0
)</f>
        <v>0</v>
      </c>
      <c r="T123">
        <f t="shared" si="7"/>
        <v>3.1253333333333334E-2</v>
      </c>
      <c r="U123">
        <f t="shared" si="8"/>
        <v>8.0565268065268064E-2</v>
      </c>
      <c r="V123" s="40" t="str">
        <f>IFERROR(
  INDEX(Campaign!$A$2:$A$100, MATCH(M127, Campaign!$E$2:$E$100, 0)),
  ""
)</f>
        <v/>
      </c>
      <c r="W123" t="str">
        <f t="shared" si="9"/>
        <v>Before</v>
      </c>
      <c r="X123" s="19"/>
    </row>
    <row r="124" spans="1:24">
      <c r="A124" s="4" t="s">
        <v>177</v>
      </c>
      <c r="B124" s="4" t="s">
        <v>30</v>
      </c>
      <c r="C124" s="5">
        <v>45457</v>
      </c>
      <c r="D124" s="4" t="s">
        <v>31</v>
      </c>
      <c r="E124" s="4" t="s">
        <v>32</v>
      </c>
      <c r="F124" s="6">
        <v>4363</v>
      </c>
      <c r="G124" s="6">
        <v>649</v>
      </c>
      <c r="H124" s="6">
        <v>140</v>
      </c>
      <c r="I124" s="6">
        <v>21815</v>
      </c>
      <c r="J124" s="6">
        <f t="shared" si="6"/>
        <v>5309</v>
      </c>
      <c r="K124" s="6">
        <v>21481</v>
      </c>
      <c r="L124" s="6">
        <v>157</v>
      </c>
      <c r="M124" s="16" t="s">
        <v>33</v>
      </c>
      <c r="N124" s="17"/>
      <c r="O124" s="17"/>
      <c r="P124" s="4" t="s">
        <v>18</v>
      </c>
      <c r="Q124">
        <f>IFERROR(
  INDEX(Campaign!$C$2:$C$100, MATCH(M124, Campaign!$E$2:$E$100, 0)),
  0
)</f>
        <v>150000</v>
      </c>
      <c r="R124" s="25">
        <f>IFERROR(
  INDEX(Campaign!$C$2:$C$100, MATCH(N124, Campaign!$E$2:$E$100, 0)),
  0
)</f>
        <v>0</v>
      </c>
      <c r="S124">
        <f>IFERROR(
  INDEX(Campaign!$C$2:$C$100, MATCH(O124, Campaign!$E$2:$E$100, 0)),
  0
)</f>
        <v>0</v>
      </c>
      <c r="T124">
        <f t="shared" si="7"/>
        <v>3.5393333333333332E-2</v>
      </c>
      <c r="U124">
        <f t="shared" si="8"/>
        <v>0.23616777446710979</v>
      </c>
      <c r="V124" s="40" t="str">
        <f>IFERROR(
  INDEX(Campaign!$A$2:$A$100, MATCH(M128, Campaign!$E$2:$E$100, 0)),
  ""
)</f>
        <v/>
      </c>
      <c r="W124" t="str">
        <f t="shared" si="9"/>
        <v>Before</v>
      </c>
      <c r="X124" s="19"/>
    </row>
    <row r="125" spans="1:24">
      <c r="A125" s="4" t="s">
        <v>178</v>
      </c>
      <c r="B125" s="4" t="s">
        <v>26</v>
      </c>
      <c r="C125" s="5">
        <v>45753</v>
      </c>
      <c r="D125" s="4" t="s">
        <v>38</v>
      </c>
      <c r="E125" s="4" t="s">
        <v>53</v>
      </c>
      <c r="F125" s="6">
        <v>736</v>
      </c>
      <c r="G125" s="6">
        <v>771</v>
      </c>
      <c r="H125" s="6">
        <v>225</v>
      </c>
      <c r="I125" s="6">
        <v>5152</v>
      </c>
      <c r="J125" s="6">
        <f t="shared" si="6"/>
        <v>1751</v>
      </c>
      <c r="K125" s="6">
        <v>4706</v>
      </c>
      <c r="L125" s="6">
        <v>19</v>
      </c>
      <c r="M125" s="16" t="s">
        <v>33</v>
      </c>
      <c r="N125" s="17"/>
      <c r="O125" s="17"/>
      <c r="P125" s="4" t="s">
        <v>18</v>
      </c>
      <c r="Q125">
        <f>IFERROR(
  INDEX(Campaign!$C$2:$C$100, MATCH(M125, Campaign!$E$2:$E$100, 0)),
  0
)</f>
        <v>150000</v>
      </c>
      <c r="R125" s="25">
        <f>IFERROR(
  INDEX(Campaign!$C$2:$C$100, MATCH(N125, Campaign!$E$2:$E$100, 0)),
  0
)</f>
        <v>0</v>
      </c>
      <c r="S125">
        <f>IFERROR(
  INDEX(Campaign!$C$2:$C$100, MATCH(O125, Campaign!$E$2:$E$100, 0)),
  0
)</f>
        <v>0</v>
      </c>
      <c r="T125">
        <f t="shared" si="7"/>
        <v>1.1673333333333334E-2</v>
      </c>
      <c r="U125">
        <f t="shared" si="8"/>
        <v>0.33618012422360249</v>
      </c>
      <c r="V125" s="40" t="str">
        <f>IFERROR(
  INDEX(Campaign!$A$2:$A$100, MATCH(M129, Campaign!$E$2:$E$100, 0)),
  ""
)</f>
        <v/>
      </c>
      <c r="W125" t="str">
        <f t="shared" si="9"/>
        <v>Before</v>
      </c>
      <c r="X125" s="19"/>
    </row>
    <row r="126" spans="1:24">
      <c r="A126" s="4" t="s">
        <v>179</v>
      </c>
      <c r="B126" s="4" t="s">
        <v>13</v>
      </c>
      <c r="C126" s="5">
        <v>45543</v>
      </c>
      <c r="D126" s="4" t="s">
        <v>38</v>
      </c>
      <c r="E126" s="4" t="s">
        <v>41</v>
      </c>
      <c r="F126" s="6">
        <v>3811</v>
      </c>
      <c r="G126" s="6">
        <v>866</v>
      </c>
      <c r="H126" s="6">
        <v>216</v>
      </c>
      <c r="I126" s="6">
        <v>34299</v>
      </c>
      <c r="J126" s="6">
        <f t="shared" si="6"/>
        <v>5126</v>
      </c>
      <c r="K126" s="6">
        <v>34088</v>
      </c>
      <c r="L126" s="6">
        <v>233</v>
      </c>
      <c r="M126" s="16" t="s">
        <v>22</v>
      </c>
      <c r="N126" s="17"/>
      <c r="O126" s="17"/>
      <c r="P126" s="4" t="s">
        <v>34</v>
      </c>
      <c r="Q126">
        <f>IFERROR(
  INDEX(Campaign!$C$2:$C$100, MATCH(M126, Campaign!$E$2:$E$100, 0)),
  0
)</f>
        <v>0</v>
      </c>
      <c r="R126" s="25">
        <f>IFERROR(
  INDEX(Campaign!$C$2:$C$100, MATCH(N126, Campaign!$E$2:$E$100, 0)),
  0
)</f>
        <v>0</v>
      </c>
      <c r="S126">
        <f>IFERROR(
  INDEX(Campaign!$C$2:$C$100, MATCH(O126, Campaign!$E$2:$E$100, 0)),
  0
)</f>
        <v>0</v>
      </c>
      <c r="T126" t="str">
        <f t="shared" si="7"/>
        <v/>
      </c>
      <c r="U126">
        <f t="shared" si="8"/>
        <v>0.14265722032712325</v>
      </c>
      <c r="V126" s="40" t="str">
        <f>IFERROR(
  INDEX(Campaign!$A$2:$A$100, MATCH(M130, Campaign!$E$2:$E$100, 0)),
  ""
)</f>
        <v/>
      </c>
      <c r="W126" t="str">
        <f t="shared" si="9"/>
        <v>Before</v>
      </c>
      <c r="X126" s="19"/>
    </row>
    <row r="127" spans="1:24">
      <c r="A127" s="4" t="s">
        <v>180</v>
      </c>
      <c r="B127" s="4" t="s">
        <v>30</v>
      </c>
      <c r="C127" s="5">
        <v>45744</v>
      </c>
      <c r="D127" s="4" t="s">
        <v>38</v>
      </c>
      <c r="E127" s="4" t="s">
        <v>66</v>
      </c>
      <c r="F127" s="6">
        <v>4158</v>
      </c>
      <c r="G127" s="6">
        <v>167</v>
      </c>
      <c r="H127" s="6">
        <v>241</v>
      </c>
      <c r="I127" s="6">
        <v>45738</v>
      </c>
      <c r="J127" s="6">
        <f t="shared" si="6"/>
        <v>4708</v>
      </c>
      <c r="K127" s="6">
        <v>45183</v>
      </c>
      <c r="L127" s="6">
        <v>142</v>
      </c>
      <c r="M127" s="16" t="s">
        <v>16</v>
      </c>
      <c r="N127" s="17"/>
      <c r="O127" s="17"/>
      <c r="P127" s="7"/>
      <c r="Q127">
        <f>IFERROR(
  INDEX(Campaign!$C$2:$C$100, MATCH(M127, Campaign!$E$2:$E$100, 0)),
  0
)</f>
        <v>0</v>
      </c>
      <c r="R127" s="25">
        <f>IFERROR(
  INDEX(Campaign!$C$2:$C$100, MATCH(N127, Campaign!$E$2:$E$100, 0)),
  0
)</f>
        <v>0</v>
      </c>
      <c r="S127">
        <f>IFERROR(
  INDEX(Campaign!$C$2:$C$100, MATCH(O127, Campaign!$E$2:$E$100, 0)),
  0
)</f>
        <v>0</v>
      </c>
      <c r="T127" t="str">
        <f t="shared" si="7"/>
        <v/>
      </c>
      <c r="U127">
        <f t="shared" si="8"/>
        <v>9.9829463465827106E-2</v>
      </c>
      <c r="V127" s="40">
        <f>IFERROR(
  INDEX(Campaign!$A$2:$A$100, MATCH(M131, Campaign!$E$2:$E$100, 0)),
  ""
)</f>
        <v>45488</v>
      </c>
      <c r="W127" t="str">
        <f t="shared" si="9"/>
        <v>Before</v>
      </c>
      <c r="X127" s="19"/>
    </row>
    <row r="128" spans="1:24">
      <c r="A128" s="4" t="s">
        <v>181</v>
      </c>
      <c r="B128" s="4" t="s">
        <v>37</v>
      </c>
      <c r="C128" s="5">
        <v>45684</v>
      </c>
      <c r="D128" s="4" t="s">
        <v>14</v>
      </c>
      <c r="E128" s="4" t="s">
        <v>51</v>
      </c>
      <c r="F128" s="6">
        <v>3452</v>
      </c>
      <c r="G128" s="6">
        <v>652</v>
      </c>
      <c r="H128" s="6">
        <v>442</v>
      </c>
      <c r="I128" s="6">
        <v>65588</v>
      </c>
      <c r="J128" s="6">
        <f t="shared" si="6"/>
        <v>4704</v>
      </c>
      <c r="K128" s="6">
        <v>65049</v>
      </c>
      <c r="L128" s="6">
        <v>158</v>
      </c>
      <c r="M128" s="16" t="s">
        <v>16</v>
      </c>
      <c r="N128" s="17"/>
      <c r="O128" s="17"/>
      <c r="P128" s="4" t="s">
        <v>28</v>
      </c>
      <c r="Q128">
        <f>IFERROR(
  INDEX(Campaign!$C$2:$C$100, MATCH(M128, Campaign!$E$2:$E$100, 0)),
  0
)</f>
        <v>0</v>
      </c>
      <c r="R128" s="25">
        <f>IFERROR(
  INDEX(Campaign!$C$2:$C$100, MATCH(N128, Campaign!$E$2:$E$100, 0)),
  0
)</f>
        <v>0</v>
      </c>
      <c r="S128">
        <f>IFERROR(
  INDEX(Campaign!$C$2:$C$100, MATCH(O128, Campaign!$E$2:$E$100, 0)),
  0
)</f>
        <v>0</v>
      </c>
      <c r="T128" t="str">
        <f t="shared" si="7"/>
        <v/>
      </c>
      <c r="U128">
        <f t="shared" si="8"/>
        <v>6.9311459413307311E-2</v>
      </c>
      <c r="V128" s="40" t="str">
        <f>IFERROR(
  INDEX(Campaign!$A$2:$A$100, MATCH(M132, Campaign!$E$2:$E$100, 0)),
  ""
)</f>
        <v/>
      </c>
      <c r="W128" t="str">
        <f t="shared" si="9"/>
        <v>Before</v>
      </c>
      <c r="X128" s="19"/>
    </row>
    <row r="129" spans="1:24">
      <c r="A129" s="4" t="s">
        <v>182</v>
      </c>
      <c r="B129" s="4" t="s">
        <v>13</v>
      </c>
      <c r="C129" s="5">
        <v>45667</v>
      </c>
      <c r="D129" s="4" t="s">
        <v>43</v>
      </c>
      <c r="E129" s="4" t="s">
        <v>89</v>
      </c>
      <c r="F129" s="6">
        <v>3092</v>
      </c>
      <c r="G129" s="6">
        <v>106</v>
      </c>
      <c r="H129" s="6">
        <v>291</v>
      </c>
      <c r="I129" s="6">
        <v>27828</v>
      </c>
      <c r="J129" s="6">
        <f t="shared" si="6"/>
        <v>3591</v>
      </c>
      <c r="K129" s="6">
        <v>27217</v>
      </c>
      <c r="L129" s="6">
        <v>102</v>
      </c>
      <c r="M129" s="16" t="s">
        <v>16</v>
      </c>
      <c r="N129" s="17"/>
      <c r="O129" s="17"/>
      <c r="P129" s="7"/>
      <c r="Q129">
        <f>IFERROR(
  INDEX(Campaign!$C$2:$C$100, MATCH(M129, Campaign!$E$2:$E$100, 0)),
  0
)</f>
        <v>0</v>
      </c>
      <c r="R129" s="25">
        <f>IFERROR(
  INDEX(Campaign!$C$2:$C$100, MATCH(N129, Campaign!$E$2:$E$100, 0)),
  0
)</f>
        <v>0</v>
      </c>
      <c r="S129">
        <f>IFERROR(
  INDEX(Campaign!$C$2:$C$100, MATCH(O129, Campaign!$E$2:$E$100, 0)),
  0
)</f>
        <v>0</v>
      </c>
      <c r="T129" t="str">
        <f t="shared" si="7"/>
        <v/>
      </c>
      <c r="U129">
        <f t="shared" si="8"/>
        <v>0.12537731780940059</v>
      </c>
      <c r="V129" s="40" t="str">
        <f>IFERROR(
  INDEX(Campaign!$A$2:$A$100, MATCH(M133, Campaign!$E$2:$E$100, 0)),
  ""
)</f>
        <v/>
      </c>
      <c r="W129" t="str">
        <f t="shared" si="9"/>
        <v>Before</v>
      </c>
      <c r="X129" s="19"/>
    </row>
    <row r="130" spans="1:24">
      <c r="A130" s="4" t="s">
        <v>183</v>
      </c>
      <c r="B130" s="4" t="s">
        <v>13</v>
      </c>
      <c r="C130" s="5">
        <v>45494</v>
      </c>
      <c r="D130" s="4" t="s">
        <v>20</v>
      </c>
      <c r="E130" s="4" t="s">
        <v>21</v>
      </c>
      <c r="F130" s="6">
        <v>2147</v>
      </c>
      <c r="G130" s="6">
        <v>430</v>
      </c>
      <c r="H130" s="6">
        <v>393</v>
      </c>
      <c r="I130" s="6">
        <v>17176</v>
      </c>
      <c r="J130" s="6">
        <f t="shared" si="6"/>
        <v>3140</v>
      </c>
      <c r="K130" s="6">
        <v>16483</v>
      </c>
      <c r="L130" s="6">
        <v>170</v>
      </c>
      <c r="M130" s="16" t="s">
        <v>22</v>
      </c>
      <c r="N130" s="17"/>
      <c r="O130" s="17"/>
      <c r="P130" s="7"/>
      <c r="Q130">
        <f>IFERROR(
  INDEX(Campaign!$C$2:$C$100, MATCH(M130, Campaign!$E$2:$E$100, 0)),
  0
)</f>
        <v>0</v>
      </c>
      <c r="R130" s="25">
        <f>IFERROR(
  INDEX(Campaign!$C$2:$C$100, MATCH(N130, Campaign!$E$2:$E$100, 0)),
  0
)</f>
        <v>0</v>
      </c>
      <c r="S130">
        <f>IFERROR(
  INDEX(Campaign!$C$2:$C$100, MATCH(O130, Campaign!$E$2:$E$100, 0)),
  0
)</f>
        <v>0</v>
      </c>
      <c r="T130" t="str">
        <f t="shared" si="7"/>
        <v/>
      </c>
      <c r="U130">
        <f t="shared" si="8"/>
        <v>0.17291569632044715</v>
      </c>
      <c r="V130" s="40" t="str">
        <f>IFERROR(
  INDEX(Campaign!$A$2:$A$100, MATCH(M134, Campaign!$E$2:$E$100, 0)),
  ""
)</f>
        <v/>
      </c>
      <c r="W130" t="str">
        <f t="shared" si="9"/>
        <v>Before</v>
      </c>
      <c r="X130" s="19"/>
    </row>
    <row r="131" spans="1:24">
      <c r="A131" s="4" t="s">
        <v>184</v>
      </c>
      <c r="B131" s="4" t="s">
        <v>26</v>
      </c>
      <c r="C131" s="5">
        <v>45564</v>
      </c>
      <c r="D131" s="4" t="s">
        <v>14</v>
      </c>
      <c r="E131" s="4" t="s">
        <v>27</v>
      </c>
      <c r="F131" s="6">
        <v>2936</v>
      </c>
      <c r="G131" s="6">
        <v>439</v>
      </c>
      <c r="H131" s="6">
        <v>44</v>
      </c>
      <c r="I131" s="6">
        <v>38168</v>
      </c>
      <c r="J131" s="6">
        <f t="shared" ref="J131:J194" si="10">F131+G131+H131+L131</f>
        <v>3441</v>
      </c>
      <c r="K131" s="6">
        <v>37571</v>
      </c>
      <c r="L131" s="6">
        <v>22</v>
      </c>
      <c r="M131" s="16" t="s">
        <v>33</v>
      </c>
      <c r="N131" s="17"/>
      <c r="O131" s="17"/>
      <c r="P131" s="4" t="s">
        <v>34</v>
      </c>
      <c r="Q131">
        <f>IFERROR(
  INDEX(Campaign!$C$2:$C$100, MATCH(M131, Campaign!$E$2:$E$100, 0)),
  0
)</f>
        <v>150000</v>
      </c>
      <c r="R131" s="25">
        <f>IFERROR(
  INDEX(Campaign!$C$2:$C$100, MATCH(N131, Campaign!$E$2:$E$100, 0)),
  0
)</f>
        <v>0</v>
      </c>
      <c r="S131">
        <f>IFERROR(
  INDEX(Campaign!$C$2:$C$100, MATCH(O131, Campaign!$E$2:$E$100, 0)),
  0
)</f>
        <v>0</v>
      </c>
      <c r="T131">
        <f t="shared" ref="T131:T194" si="11">IF((Q131+R131+S131)=0, "", J131/(Q131+R131+S131))</f>
        <v>2.2939999999999999E-2</v>
      </c>
      <c r="U131">
        <f t="shared" ref="U131:U194" si="12">(F131+H131+G131)/I131</f>
        <v>8.9577656675749323E-2</v>
      </c>
      <c r="V131" s="40" t="str">
        <f>IFERROR(
  INDEX(Campaign!$A$2:$A$100, MATCH(M135, Campaign!$E$2:$E$100, 0)),
  ""
)</f>
        <v/>
      </c>
      <c r="W131" t="str">
        <f t="shared" ref="W131:W194" si="13">IF(TRIM(O131)="","Before", "During")</f>
        <v>Before</v>
      </c>
      <c r="X131" s="19"/>
    </row>
    <row r="132" spans="1:24">
      <c r="A132" s="4" t="s">
        <v>185</v>
      </c>
      <c r="B132" s="4" t="s">
        <v>30</v>
      </c>
      <c r="C132" s="5">
        <v>45586</v>
      </c>
      <c r="D132" s="4" t="s">
        <v>14</v>
      </c>
      <c r="E132" s="4" t="s">
        <v>62</v>
      </c>
      <c r="F132" s="6">
        <v>4840</v>
      </c>
      <c r="G132" s="6">
        <v>658</v>
      </c>
      <c r="H132" s="6">
        <v>211</v>
      </c>
      <c r="I132" s="6">
        <v>43560</v>
      </c>
      <c r="J132" s="6">
        <f t="shared" si="10"/>
        <v>5766</v>
      </c>
      <c r="K132" s="6">
        <v>43225</v>
      </c>
      <c r="L132" s="6">
        <v>57</v>
      </c>
      <c r="M132" s="16" t="s">
        <v>16</v>
      </c>
      <c r="N132" s="17"/>
      <c r="O132" s="17"/>
      <c r="P132" s="4" t="s">
        <v>28</v>
      </c>
      <c r="Q132">
        <f>IFERROR(
  INDEX(Campaign!$C$2:$C$100, MATCH(M132, Campaign!$E$2:$E$100, 0)),
  0
)</f>
        <v>0</v>
      </c>
      <c r="R132" s="25">
        <f>IFERROR(
  INDEX(Campaign!$C$2:$C$100, MATCH(N132, Campaign!$E$2:$E$100, 0)),
  0
)</f>
        <v>0</v>
      </c>
      <c r="S132">
        <f>IFERROR(
  INDEX(Campaign!$C$2:$C$100, MATCH(O132, Campaign!$E$2:$E$100, 0)),
  0
)</f>
        <v>0</v>
      </c>
      <c r="T132" t="str">
        <f t="shared" si="11"/>
        <v/>
      </c>
      <c r="U132">
        <f t="shared" si="12"/>
        <v>0.13106060606060607</v>
      </c>
      <c r="V132" s="40" t="str">
        <f>IFERROR(
  INDEX(Campaign!$A$2:$A$100, MATCH(M136, Campaign!$E$2:$E$100, 0)),
  ""
)</f>
        <v/>
      </c>
      <c r="W132" t="str">
        <f t="shared" si="13"/>
        <v>Before</v>
      </c>
      <c r="X132" s="19"/>
    </row>
    <row r="133" spans="1:24">
      <c r="A133" s="4" t="s">
        <v>186</v>
      </c>
      <c r="B133" s="4" t="s">
        <v>30</v>
      </c>
      <c r="C133" s="5">
        <v>45720</v>
      </c>
      <c r="D133" s="4" t="s">
        <v>31</v>
      </c>
      <c r="E133" s="4" t="s">
        <v>32</v>
      </c>
      <c r="F133" s="6">
        <v>1947</v>
      </c>
      <c r="G133" s="6">
        <v>842</v>
      </c>
      <c r="H133" s="6">
        <v>101</v>
      </c>
      <c r="I133" s="6">
        <v>21417</v>
      </c>
      <c r="J133" s="6">
        <f t="shared" si="10"/>
        <v>3076</v>
      </c>
      <c r="K133" s="6">
        <v>20967</v>
      </c>
      <c r="L133" s="6">
        <v>186</v>
      </c>
      <c r="M133" s="16" t="s">
        <v>16</v>
      </c>
      <c r="N133" s="17"/>
      <c r="O133" s="17"/>
      <c r="P133" s="4" t="s">
        <v>24</v>
      </c>
      <c r="Q133">
        <f>IFERROR(
  INDEX(Campaign!$C$2:$C$100, MATCH(M133, Campaign!$E$2:$E$100, 0)),
  0
)</f>
        <v>0</v>
      </c>
      <c r="R133" s="25">
        <f>IFERROR(
  INDEX(Campaign!$C$2:$C$100, MATCH(N133, Campaign!$E$2:$E$100, 0)),
  0
)</f>
        <v>0</v>
      </c>
      <c r="S133">
        <f>IFERROR(
  INDEX(Campaign!$C$2:$C$100, MATCH(O133, Campaign!$E$2:$E$100, 0)),
  0
)</f>
        <v>0</v>
      </c>
      <c r="T133" t="str">
        <f t="shared" si="11"/>
        <v/>
      </c>
      <c r="U133">
        <f t="shared" si="12"/>
        <v>0.13493953401503478</v>
      </c>
      <c r="V133" s="40">
        <f>IFERROR(
  INDEX(Campaign!$A$2:$A$100, MATCH(M137, Campaign!$E$2:$E$100, 0)),
  ""
)</f>
        <v>45488</v>
      </c>
      <c r="W133" t="str">
        <f t="shared" si="13"/>
        <v>Before</v>
      </c>
      <c r="X133" s="19"/>
    </row>
    <row r="134" spans="1:24">
      <c r="A134" s="4" t="s">
        <v>187</v>
      </c>
      <c r="B134" s="4" t="s">
        <v>37</v>
      </c>
      <c r="C134" s="5">
        <v>45694</v>
      </c>
      <c r="D134" s="4" t="s">
        <v>43</v>
      </c>
      <c r="E134" s="4" t="s">
        <v>48</v>
      </c>
      <c r="F134" s="6">
        <v>2072</v>
      </c>
      <c r="G134" s="6">
        <v>532</v>
      </c>
      <c r="H134" s="6">
        <v>71</v>
      </c>
      <c r="I134" s="6">
        <v>37296</v>
      </c>
      <c r="J134" s="6">
        <f t="shared" si="10"/>
        <v>2700</v>
      </c>
      <c r="K134" s="6">
        <v>36467</v>
      </c>
      <c r="L134" s="6">
        <v>25</v>
      </c>
      <c r="M134" s="16" t="s">
        <v>22</v>
      </c>
      <c r="N134" s="17"/>
      <c r="O134" s="17"/>
      <c r="P134" s="4" t="s">
        <v>34</v>
      </c>
      <c r="Q134">
        <f>IFERROR(
  INDEX(Campaign!$C$2:$C$100, MATCH(M134, Campaign!$E$2:$E$100, 0)),
  0
)</f>
        <v>0</v>
      </c>
      <c r="R134" s="25">
        <f>IFERROR(
  INDEX(Campaign!$C$2:$C$100, MATCH(N134, Campaign!$E$2:$E$100, 0)),
  0
)</f>
        <v>0</v>
      </c>
      <c r="S134">
        <f>IFERROR(
  INDEX(Campaign!$C$2:$C$100, MATCH(O134, Campaign!$E$2:$E$100, 0)),
  0
)</f>
        <v>0</v>
      </c>
      <c r="T134" t="str">
        <f t="shared" si="11"/>
        <v/>
      </c>
      <c r="U134">
        <f t="shared" si="12"/>
        <v>7.172350922350923E-2</v>
      </c>
      <c r="V134" s="40" t="str">
        <f>IFERROR(
  INDEX(Campaign!$A$2:$A$100, MATCH(M138, Campaign!$E$2:$E$100, 0)),
  ""
)</f>
        <v/>
      </c>
      <c r="W134" t="str">
        <f t="shared" si="13"/>
        <v>Before</v>
      </c>
      <c r="X134" s="19"/>
    </row>
    <row r="135" spans="1:24">
      <c r="A135" s="4" t="s">
        <v>188</v>
      </c>
      <c r="B135" s="4" t="s">
        <v>13</v>
      </c>
      <c r="C135" s="5">
        <v>45771</v>
      </c>
      <c r="D135" s="4" t="s">
        <v>14</v>
      </c>
      <c r="E135" s="4" t="s">
        <v>15</v>
      </c>
      <c r="F135" s="6">
        <v>3731</v>
      </c>
      <c r="G135" s="6">
        <v>115</v>
      </c>
      <c r="H135" s="6">
        <v>135</v>
      </c>
      <c r="I135" s="6">
        <v>55965</v>
      </c>
      <c r="J135" s="6">
        <f t="shared" si="10"/>
        <v>4084</v>
      </c>
      <c r="K135" s="6">
        <v>55436</v>
      </c>
      <c r="L135" s="6">
        <v>103</v>
      </c>
      <c r="M135" s="16" t="s">
        <v>22</v>
      </c>
      <c r="N135" s="17"/>
      <c r="O135" s="17"/>
      <c r="P135" s="4" t="s">
        <v>18</v>
      </c>
      <c r="Q135">
        <f>IFERROR(
  INDEX(Campaign!$C$2:$C$100, MATCH(M135, Campaign!$E$2:$E$100, 0)),
  0
)</f>
        <v>0</v>
      </c>
      <c r="R135" s="25">
        <f>IFERROR(
  INDEX(Campaign!$C$2:$C$100, MATCH(N135, Campaign!$E$2:$E$100, 0)),
  0
)</f>
        <v>0</v>
      </c>
      <c r="S135">
        <f>IFERROR(
  INDEX(Campaign!$C$2:$C$100, MATCH(O135, Campaign!$E$2:$E$100, 0)),
  0
)</f>
        <v>0</v>
      </c>
      <c r="T135" t="str">
        <f t="shared" si="11"/>
        <v/>
      </c>
      <c r="U135">
        <f t="shared" si="12"/>
        <v>7.1133744304476013E-2</v>
      </c>
      <c r="V135" s="40" t="str">
        <f>IFERROR(
  INDEX(Campaign!$A$2:$A$100, MATCH(M139, Campaign!$E$2:$E$100, 0)),
  ""
)</f>
        <v/>
      </c>
      <c r="W135" t="str">
        <f t="shared" si="13"/>
        <v>Before</v>
      </c>
      <c r="X135" s="19"/>
    </row>
    <row r="136" spans="1:24">
      <c r="A136" s="4" t="s">
        <v>189</v>
      </c>
      <c r="B136" s="4" t="s">
        <v>37</v>
      </c>
      <c r="C136" s="5">
        <v>45624</v>
      </c>
      <c r="D136" s="4" t="s">
        <v>20</v>
      </c>
      <c r="E136" s="4" t="s">
        <v>46</v>
      </c>
      <c r="F136" s="6">
        <v>4213</v>
      </c>
      <c r="G136" s="6">
        <v>253</v>
      </c>
      <c r="H136" s="6">
        <v>434</v>
      </c>
      <c r="I136" s="6">
        <v>75834</v>
      </c>
      <c r="J136" s="6">
        <f t="shared" si="10"/>
        <v>5172</v>
      </c>
      <c r="K136" s="6">
        <v>75437</v>
      </c>
      <c r="L136" s="6">
        <v>272</v>
      </c>
      <c r="M136" s="16" t="s">
        <v>16</v>
      </c>
      <c r="N136" s="17"/>
      <c r="O136" s="17"/>
      <c r="P136" s="4" t="s">
        <v>34</v>
      </c>
      <c r="Q136">
        <f>IFERROR(
  INDEX(Campaign!$C$2:$C$100, MATCH(M136, Campaign!$E$2:$E$100, 0)),
  0
)</f>
        <v>0</v>
      </c>
      <c r="R136" s="25">
        <f>IFERROR(
  INDEX(Campaign!$C$2:$C$100, MATCH(N136, Campaign!$E$2:$E$100, 0)),
  0
)</f>
        <v>0</v>
      </c>
      <c r="S136">
        <f>IFERROR(
  INDEX(Campaign!$C$2:$C$100, MATCH(O136, Campaign!$E$2:$E$100, 0)),
  0
)</f>
        <v>0</v>
      </c>
      <c r="T136" t="str">
        <f t="shared" si="11"/>
        <v/>
      </c>
      <c r="U136">
        <f t="shared" si="12"/>
        <v>6.461481657304112E-2</v>
      </c>
      <c r="V136" s="40">
        <f>IFERROR(
  INDEX(Campaign!$A$2:$A$100, MATCH(M140, Campaign!$E$2:$E$100, 0)),
  ""
)</f>
        <v>45488</v>
      </c>
      <c r="W136" t="str">
        <f t="shared" si="13"/>
        <v>Before</v>
      </c>
      <c r="X136" s="19"/>
    </row>
    <row r="137" spans="1:24">
      <c r="A137" s="4" t="s">
        <v>190</v>
      </c>
      <c r="B137" s="4" t="s">
        <v>30</v>
      </c>
      <c r="C137" s="5">
        <v>45484</v>
      </c>
      <c r="D137" s="4" t="s">
        <v>20</v>
      </c>
      <c r="E137" s="4" t="s">
        <v>79</v>
      </c>
      <c r="F137" s="6">
        <v>3134</v>
      </c>
      <c r="G137" s="6">
        <v>888</v>
      </c>
      <c r="H137" s="6">
        <v>444</v>
      </c>
      <c r="I137" s="6">
        <v>21938</v>
      </c>
      <c r="J137" s="6">
        <f t="shared" si="10"/>
        <v>4596</v>
      </c>
      <c r="K137" s="6">
        <v>21337</v>
      </c>
      <c r="L137" s="6">
        <v>130</v>
      </c>
      <c r="M137" s="16" t="s">
        <v>33</v>
      </c>
      <c r="N137" s="17"/>
      <c r="O137" s="17"/>
      <c r="P137" s="4" t="s">
        <v>34</v>
      </c>
      <c r="Q137">
        <f>IFERROR(
  INDEX(Campaign!$C$2:$C$100, MATCH(M137, Campaign!$E$2:$E$100, 0)),
  0
)</f>
        <v>150000</v>
      </c>
      <c r="R137" s="25">
        <f>IFERROR(
  INDEX(Campaign!$C$2:$C$100, MATCH(N137, Campaign!$E$2:$E$100, 0)),
  0
)</f>
        <v>0</v>
      </c>
      <c r="S137">
        <f>IFERROR(
  INDEX(Campaign!$C$2:$C$100, MATCH(O137, Campaign!$E$2:$E$100, 0)),
  0
)</f>
        <v>0</v>
      </c>
      <c r="T137">
        <f t="shared" si="11"/>
        <v>3.0640000000000001E-2</v>
      </c>
      <c r="U137">
        <f t="shared" si="12"/>
        <v>0.20357370772176134</v>
      </c>
      <c r="V137" s="40">
        <f>IFERROR(
  INDEX(Campaign!$A$2:$A$100, MATCH(M141, Campaign!$E$2:$E$100, 0)),
  ""
)</f>
        <v>45488</v>
      </c>
      <c r="W137" t="str">
        <f t="shared" si="13"/>
        <v>Before</v>
      </c>
      <c r="X137" s="19"/>
    </row>
    <row r="138" spans="1:24">
      <c r="A138" s="4" t="s">
        <v>191</v>
      </c>
      <c r="B138" s="4" t="s">
        <v>37</v>
      </c>
      <c r="C138" s="5">
        <v>45504</v>
      </c>
      <c r="D138" s="4" t="s">
        <v>57</v>
      </c>
      <c r="E138" s="4" t="s">
        <v>58</v>
      </c>
      <c r="F138" s="6">
        <v>3008</v>
      </c>
      <c r="G138" s="6">
        <v>94</v>
      </c>
      <c r="H138" s="6">
        <v>37</v>
      </c>
      <c r="I138" s="6">
        <v>15040</v>
      </c>
      <c r="J138" s="6">
        <f t="shared" si="10"/>
        <v>3416</v>
      </c>
      <c r="K138" s="6">
        <v>14639</v>
      </c>
      <c r="L138" s="6">
        <v>277</v>
      </c>
      <c r="M138" s="16" t="s">
        <v>16</v>
      </c>
      <c r="N138" s="17"/>
      <c r="O138" s="17"/>
      <c r="P138" s="7"/>
      <c r="Q138">
        <f>IFERROR(
  INDEX(Campaign!$C$2:$C$100, MATCH(M138, Campaign!$E$2:$E$100, 0)),
  0
)</f>
        <v>0</v>
      </c>
      <c r="R138" s="25">
        <f>IFERROR(
  INDEX(Campaign!$C$2:$C$100, MATCH(N138, Campaign!$E$2:$E$100, 0)),
  0
)</f>
        <v>0</v>
      </c>
      <c r="S138">
        <f>IFERROR(
  INDEX(Campaign!$C$2:$C$100, MATCH(O138, Campaign!$E$2:$E$100, 0)),
  0
)</f>
        <v>0</v>
      </c>
      <c r="T138" t="str">
        <f t="shared" si="11"/>
        <v/>
      </c>
      <c r="U138">
        <f t="shared" si="12"/>
        <v>0.20871010638297871</v>
      </c>
      <c r="V138" s="40" t="str">
        <f>IFERROR(
  INDEX(Campaign!$A$2:$A$100, MATCH(M142, Campaign!$E$2:$E$100, 0)),
  ""
)</f>
        <v/>
      </c>
      <c r="W138" t="str">
        <f t="shared" si="13"/>
        <v>Before</v>
      </c>
      <c r="X138" s="19"/>
    </row>
    <row r="139" spans="1:24">
      <c r="A139" s="4" t="s">
        <v>192</v>
      </c>
      <c r="B139" s="4" t="s">
        <v>13</v>
      </c>
      <c r="C139" s="5">
        <v>45745</v>
      </c>
      <c r="D139" s="4" t="s">
        <v>43</v>
      </c>
      <c r="E139" s="4" t="s">
        <v>89</v>
      </c>
      <c r="F139" s="6">
        <v>305</v>
      </c>
      <c r="G139" s="6">
        <v>187</v>
      </c>
      <c r="H139" s="6">
        <v>243</v>
      </c>
      <c r="I139" s="6">
        <v>4575</v>
      </c>
      <c r="J139" s="6">
        <f t="shared" si="10"/>
        <v>969</v>
      </c>
      <c r="K139" s="6">
        <v>3704</v>
      </c>
      <c r="L139" s="6">
        <v>234</v>
      </c>
      <c r="M139" s="16" t="s">
        <v>16</v>
      </c>
      <c r="N139" s="17"/>
      <c r="O139" s="17"/>
      <c r="P139" s="4" t="s">
        <v>28</v>
      </c>
      <c r="Q139">
        <f>IFERROR(
  INDEX(Campaign!$C$2:$C$100, MATCH(M139, Campaign!$E$2:$E$100, 0)),
  0
)</f>
        <v>0</v>
      </c>
      <c r="R139" s="25">
        <f>IFERROR(
  INDEX(Campaign!$C$2:$C$100, MATCH(N139, Campaign!$E$2:$E$100, 0)),
  0
)</f>
        <v>0</v>
      </c>
      <c r="S139">
        <f>IFERROR(
  INDEX(Campaign!$C$2:$C$100, MATCH(O139, Campaign!$E$2:$E$100, 0)),
  0
)</f>
        <v>0</v>
      </c>
      <c r="T139" t="str">
        <f t="shared" si="11"/>
        <v/>
      </c>
      <c r="U139">
        <f t="shared" si="12"/>
        <v>0.16065573770491803</v>
      </c>
      <c r="V139" s="40" t="str">
        <f>IFERROR(
  INDEX(Campaign!$A$2:$A$100, MATCH(M143, Campaign!$E$2:$E$100, 0)),
  ""
)</f>
        <v/>
      </c>
      <c r="W139" t="str">
        <f t="shared" si="13"/>
        <v>Before</v>
      </c>
      <c r="X139" s="19"/>
    </row>
    <row r="140" spans="1:24">
      <c r="A140" s="4" t="s">
        <v>193</v>
      </c>
      <c r="B140" s="4" t="s">
        <v>26</v>
      </c>
      <c r="C140" s="5">
        <v>45594</v>
      </c>
      <c r="D140" s="4" t="s">
        <v>20</v>
      </c>
      <c r="E140" s="4" t="s">
        <v>74</v>
      </c>
      <c r="F140" s="6">
        <v>2746</v>
      </c>
      <c r="G140" s="6">
        <v>156</v>
      </c>
      <c r="H140" s="6">
        <v>203</v>
      </c>
      <c r="I140" s="6">
        <v>32952</v>
      </c>
      <c r="J140" s="6">
        <f t="shared" si="10"/>
        <v>3252</v>
      </c>
      <c r="K140" s="6">
        <v>32147</v>
      </c>
      <c r="L140" s="6">
        <v>147</v>
      </c>
      <c r="M140" s="16" t="s">
        <v>33</v>
      </c>
      <c r="N140" s="17"/>
      <c r="O140" s="17"/>
      <c r="P140" s="4" t="s">
        <v>18</v>
      </c>
      <c r="Q140">
        <f>IFERROR(
  INDEX(Campaign!$C$2:$C$100, MATCH(M140, Campaign!$E$2:$E$100, 0)),
  0
)</f>
        <v>150000</v>
      </c>
      <c r="R140" s="25">
        <f>IFERROR(
  INDEX(Campaign!$C$2:$C$100, MATCH(N140, Campaign!$E$2:$E$100, 0)),
  0
)</f>
        <v>0</v>
      </c>
      <c r="S140">
        <f>IFERROR(
  INDEX(Campaign!$C$2:$C$100, MATCH(O140, Campaign!$E$2:$E$100, 0)),
  0
)</f>
        <v>0</v>
      </c>
      <c r="T140">
        <f t="shared" si="11"/>
        <v>2.1680000000000001E-2</v>
      </c>
      <c r="U140">
        <f t="shared" si="12"/>
        <v>9.422796795338674E-2</v>
      </c>
      <c r="V140" s="40" t="str">
        <f>IFERROR(
  INDEX(Campaign!$A$2:$A$100, MATCH(M144, Campaign!$E$2:$E$100, 0)),
  ""
)</f>
        <v/>
      </c>
      <c r="W140" t="str">
        <f t="shared" si="13"/>
        <v>Before</v>
      </c>
      <c r="X140" s="19"/>
    </row>
    <row r="141" spans="1:24">
      <c r="A141" s="4" t="s">
        <v>194</v>
      </c>
      <c r="B141" s="4" t="s">
        <v>37</v>
      </c>
      <c r="C141" s="5">
        <v>45488</v>
      </c>
      <c r="D141" s="4" t="s">
        <v>43</v>
      </c>
      <c r="E141" s="4" t="s">
        <v>48</v>
      </c>
      <c r="F141" s="6">
        <v>2291</v>
      </c>
      <c r="G141" s="6">
        <v>78</v>
      </c>
      <c r="H141" s="6">
        <v>485</v>
      </c>
      <c r="I141" s="6">
        <v>18328</v>
      </c>
      <c r="J141" s="6">
        <f t="shared" si="10"/>
        <v>2864</v>
      </c>
      <c r="K141" s="6">
        <v>18101</v>
      </c>
      <c r="L141" s="6">
        <v>10</v>
      </c>
      <c r="M141" s="16" t="s">
        <v>33</v>
      </c>
      <c r="N141" s="17" t="s">
        <v>195</v>
      </c>
      <c r="O141" s="17"/>
      <c r="P141" s="4" t="s">
        <v>24</v>
      </c>
      <c r="Q141">
        <f>IFERROR(
  INDEX(Campaign!$C$2:$C$100, MATCH(M141, Campaign!$E$2:$E$100, 0)),
  0
)</f>
        <v>150000</v>
      </c>
      <c r="R141" s="25">
        <f>IFERROR(
  INDEX(Campaign!$C$2:$C$100, MATCH(N141, Campaign!$E$2:$E$100, 0)),
  0
)</f>
        <v>250000</v>
      </c>
      <c r="S141">
        <f>IFERROR(
  INDEX(Campaign!$C$2:$C$100, MATCH(O141, Campaign!$E$2:$E$100, 0)),
  0
)</f>
        <v>0</v>
      </c>
      <c r="T141">
        <f t="shared" si="11"/>
        <v>7.1599999999999997E-3</v>
      </c>
      <c r="U141">
        <f t="shared" si="12"/>
        <v>0.15571802706241816</v>
      </c>
      <c r="V141" s="40">
        <f>IFERROR(
  INDEX(Campaign!$A$2:$A$100, MATCH(M145, Campaign!$E$2:$E$100, 0)),
  ""
)</f>
        <v>45488</v>
      </c>
      <c r="W141" t="str">
        <f t="shared" si="13"/>
        <v>Before</v>
      </c>
      <c r="X141" s="19"/>
    </row>
    <row r="142" spans="1:24">
      <c r="A142" s="4" t="s">
        <v>196</v>
      </c>
      <c r="B142" s="4" t="s">
        <v>13</v>
      </c>
      <c r="C142" s="5">
        <v>45535</v>
      </c>
      <c r="D142" s="4" t="s">
        <v>43</v>
      </c>
      <c r="E142" s="4" t="s">
        <v>89</v>
      </c>
      <c r="F142" s="6">
        <v>3170</v>
      </c>
      <c r="G142" s="6">
        <v>857</v>
      </c>
      <c r="H142" s="6">
        <v>379</v>
      </c>
      <c r="I142" s="6">
        <v>19020</v>
      </c>
      <c r="J142" s="6">
        <f t="shared" si="10"/>
        <v>4646</v>
      </c>
      <c r="K142" s="6">
        <v>18559</v>
      </c>
      <c r="L142" s="6">
        <v>240</v>
      </c>
      <c r="M142" s="16" t="s">
        <v>16</v>
      </c>
      <c r="N142" s="17"/>
      <c r="O142" s="17"/>
      <c r="P142" s="7"/>
      <c r="Q142">
        <f>IFERROR(
  INDEX(Campaign!$C$2:$C$100, MATCH(M142, Campaign!$E$2:$E$100, 0)),
  0
)</f>
        <v>0</v>
      </c>
      <c r="R142" s="25">
        <f>IFERROR(
  INDEX(Campaign!$C$2:$C$100, MATCH(N142, Campaign!$E$2:$E$100, 0)),
  0
)</f>
        <v>0</v>
      </c>
      <c r="S142">
        <f>IFERROR(
  INDEX(Campaign!$C$2:$C$100, MATCH(O142, Campaign!$E$2:$E$100, 0)),
  0
)</f>
        <v>0</v>
      </c>
      <c r="T142" t="str">
        <f t="shared" si="11"/>
        <v/>
      </c>
      <c r="U142">
        <f t="shared" si="12"/>
        <v>0.2316508937960042</v>
      </c>
      <c r="V142" s="40" t="str">
        <f>IFERROR(
  INDEX(Campaign!$A$2:$A$100, MATCH(M146, Campaign!$E$2:$E$100, 0)),
  ""
)</f>
        <v/>
      </c>
      <c r="W142" t="str">
        <f t="shared" si="13"/>
        <v>Before</v>
      </c>
      <c r="X142" s="19"/>
    </row>
    <row r="143" spans="1:24">
      <c r="A143" s="4" t="s">
        <v>197</v>
      </c>
      <c r="B143" s="4" t="s">
        <v>26</v>
      </c>
      <c r="C143" s="5">
        <v>45741</v>
      </c>
      <c r="D143" s="4" t="s">
        <v>31</v>
      </c>
      <c r="E143" s="4" t="s">
        <v>102</v>
      </c>
      <c r="F143" s="6">
        <v>2070</v>
      </c>
      <c r="G143" s="6">
        <v>275</v>
      </c>
      <c r="H143" s="6">
        <v>386</v>
      </c>
      <c r="I143" s="6">
        <v>39330</v>
      </c>
      <c r="J143" s="6">
        <f t="shared" si="10"/>
        <v>2845</v>
      </c>
      <c r="K143" s="6">
        <v>38627</v>
      </c>
      <c r="L143" s="6">
        <v>114</v>
      </c>
      <c r="M143" s="16" t="s">
        <v>16</v>
      </c>
      <c r="N143" s="17"/>
      <c r="O143" s="17"/>
      <c r="P143" s="4" t="s">
        <v>34</v>
      </c>
      <c r="Q143">
        <f>IFERROR(
  INDEX(Campaign!$C$2:$C$100, MATCH(M143, Campaign!$E$2:$E$100, 0)),
  0
)</f>
        <v>0</v>
      </c>
      <c r="R143" s="25">
        <f>IFERROR(
  INDEX(Campaign!$C$2:$C$100, MATCH(N143, Campaign!$E$2:$E$100, 0)),
  0
)</f>
        <v>0</v>
      </c>
      <c r="S143">
        <f>IFERROR(
  INDEX(Campaign!$C$2:$C$100, MATCH(O143, Campaign!$E$2:$E$100, 0)),
  0
)</f>
        <v>0</v>
      </c>
      <c r="T143" t="str">
        <f t="shared" si="11"/>
        <v/>
      </c>
      <c r="U143">
        <f t="shared" si="12"/>
        <v>6.9438087973557078E-2</v>
      </c>
      <c r="V143" s="40">
        <f>IFERROR(
  INDEX(Campaign!$A$2:$A$100, MATCH(M147, Campaign!$E$2:$E$100, 0)),
  ""
)</f>
        <v>45488</v>
      </c>
      <c r="W143" t="str">
        <f t="shared" si="13"/>
        <v>Before</v>
      </c>
      <c r="X143" s="19"/>
    </row>
    <row r="144" spans="1:24">
      <c r="A144" s="4" t="s">
        <v>198</v>
      </c>
      <c r="B144" s="4" t="s">
        <v>26</v>
      </c>
      <c r="C144" s="5">
        <v>45567</v>
      </c>
      <c r="D144" s="4" t="s">
        <v>38</v>
      </c>
      <c r="E144" s="4" t="s">
        <v>53</v>
      </c>
      <c r="F144" s="6">
        <v>80</v>
      </c>
      <c r="G144" s="6">
        <v>362</v>
      </c>
      <c r="H144" s="6">
        <v>80</v>
      </c>
      <c r="I144" s="6">
        <v>1040</v>
      </c>
      <c r="J144" s="6">
        <f t="shared" si="10"/>
        <v>639</v>
      </c>
      <c r="K144" s="6">
        <v>349</v>
      </c>
      <c r="L144" s="6">
        <v>117</v>
      </c>
      <c r="M144" s="16" t="s">
        <v>22</v>
      </c>
      <c r="N144" s="17"/>
      <c r="O144" s="17"/>
      <c r="P144" s="4" t="s">
        <v>28</v>
      </c>
      <c r="Q144">
        <f>IFERROR(
  INDEX(Campaign!$C$2:$C$100, MATCH(M144, Campaign!$E$2:$E$100, 0)),
  0
)</f>
        <v>0</v>
      </c>
      <c r="R144" s="25">
        <f>IFERROR(
  INDEX(Campaign!$C$2:$C$100, MATCH(N144, Campaign!$E$2:$E$100, 0)),
  0
)</f>
        <v>0</v>
      </c>
      <c r="S144">
        <f>IFERROR(
  INDEX(Campaign!$C$2:$C$100, MATCH(O144, Campaign!$E$2:$E$100, 0)),
  0
)</f>
        <v>0</v>
      </c>
      <c r="T144" t="str">
        <f t="shared" si="11"/>
        <v/>
      </c>
      <c r="U144">
        <f t="shared" si="12"/>
        <v>0.50192307692307692</v>
      </c>
      <c r="V144" s="40" t="str">
        <f>IFERROR(
  INDEX(Campaign!$A$2:$A$100, MATCH(M148, Campaign!$E$2:$E$100, 0)),
  ""
)</f>
        <v/>
      </c>
      <c r="W144" t="str">
        <f t="shared" si="13"/>
        <v>Before</v>
      </c>
      <c r="X144" s="19"/>
    </row>
    <row r="145" spans="1:24">
      <c r="A145" s="4" t="s">
        <v>199</v>
      </c>
      <c r="B145" s="4" t="s">
        <v>26</v>
      </c>
      <c r="C145" s="5">
        <v>45593</v>
      </c>
      <c r="D145" s="4" t="s">
        <v>31</v>
      </c>
      <c r="E145" s="4" t="s">
        <v>102</v>
      </c>
      <c r="F145" s="6">
        <v>4929</v>
      </c>
      <c r="G145" s="6">
        <v>749</v>
      </c>
      <c r="H145" s="6">
        <v>452</v>
      </c>
      <c r="I145" s="6">
        <v>93651</v>
      </c>
      <c r="J145" s="6">
        <f t="shared" si="10"/>
        <v>6196</v>
      </c>
      <c r="K145" s="6">
        <v>92810</v>
      </c>
      <c r="L145" s="6">
        <v>66</v>
      </c>
      <c r="M145" s="16" t="s">
        <v>33</v>
      </c>
      <c r="N145" s="17"/>
      <c r="O145" s="17"/>
      <c r="P145" s="4" t="s">
        <v>34</v>
      </c>
      <c r="Q145">
        <f>IFERROR(
  INDEX(Campaign!$C$2:$C$100, MATCH(M145, Campaign!$E$2:$E$100, 0)),
  0
)</f>
        <v>150000</v>
      </c>
      <c r="R145" s="25">
        <f>IFERROR(
  INDEX(Campaign!$C$2:$C$100, MATCH(N145, Campaign!$E$2:$E$100, 0)),
  0
)</f>
        <v>0</v>
      </c>
      <c r="S145">
        <f>IFERROR(
  INDEX(Campaign!$C$2:$C$100, MATCH(O145, Campaign!$E$2:$E$100, 0)),
  0
)</f>
        <v>0</v>
      </c>
      <c r="T145">
        <f t="shared" si="11"/>
        <v>4.1306666666666665E-2</v>
      </c>
      <c r="U145">
        <f t="shared" si="12"/>
        <v>6.5455787978772245E-2</v>
      </c>
      <c r="V145" s="40">
        <f>IFERROR(
  INDEX(Campaign!$A$2:$A$100, MATCH(M149, Campaign!$E$2:$E$100, 0)),
  ""
)</f>
        <v>45488</v>
      </c>
      <c r="W145" t="str">
        <f t="shared" si="13"/>
        <v>Before</v>
      </c>
      <c r="X145" s="19"/>
    </row>
    <row r="146" spans="1:24">
      <c r="A146" s="4" t="s">
        <v>200</v>
      </c>
      <c r="B146" s="4" t="s">
        <v>30</v>
      </c>
      <c r="C146" s="5">
        <v>45516</v>
      </c>
      <c r="D146" s="4" t="s">
        <v>38</v>
      </c>
      <c r="E146" s="4" t="s">
        <v>66</v>
      </c>
      <c r="F146" s="6">
        <v>1878</v>
      </c>
      <c r="G146" s="6">
        <v>62</v>
      </c>
      <c r="H146" s="6">
        <v>179</v>
      </c>
      <c r="I146" s="6">
        <v>37560</v>
      </c>
      <c r="J146" s="6">
        <f t="shared" si="10"/>
        <v>2261</v>
      </c>
      <c r="K146" s="6">
        <v>36874</v>
      </c>
      <c r="L146" s="6">
        <v>142</v>
      </c>
      <c r="M146" s="16" t="s">
        <v>22</v>
      </c>
      <c r="N146" s="17"/>
      <c r="O146" s="17"/>
      <c r="P146" s="4" t="s">
        <v>34</v>
      </c>
      <c r="Q146">
        <f>IFERROR(
  INDEX(Campaign!$C$2:$C$100, MATCH(M146, Campaign!$E$2:$E$100, 0)),
  0
)</f>
        <v>0</v>
      </c>
      <c r="R146" s="25">
        <f>IFERROR(
  INDEX(Campaign!$C$2:$C$100, MATCH(N146, Campaign!$E$2:$E$100, 0)),
  0
)</f>
        <v>0</v>
      </c>
      <c r="S146">
        <f>IFERROR(
  INDEX(Campaign!$C$2:$C$100, MATCH(O146, Campaign!$E$2:$E$100, 0)),
  0
)</f>
        <v>0</v>
      </c>
      <c r="T146" t="str">
        <f t="shared" si="11"/>
        <v/>
      </c>
      <c r="U146">
        <f t="shared" si="12"/>
        <v>5.6416400425985093E-2</v>
      </c>
      <c r="V146" s="40">
        <f>IFERROR(
  INDEX(Campaign!$A$2:$A$100, MATCH(M150, Campaign!$E$2:$E$100, 0)),
  ""
)</f>
        <v>45488</v>
      </c>
      <c r="W146" t="str">
        <f t="shared" si="13"/>
        <v>Before</v>
      </c>
      <c r="X146" s="19"/>
    </row>
    <row r="147" spans="1:24">
      <c r="A147" s="4" t="s">
        <v>201</v>
      </c>
      <c r="B147" s="4" t="s">
        <v>26</v>
      </c>
      <c r="C147" s="5">
        <v>45448</v>
      </c>
      <c r="D147" s="4" t="s">
        <v>14</v>
      </c>
      <c r="E147" s="4" t="s">
        <v>27</v>
      </c>
      <c r="F147" s="6">
        <v>3065</v>
      </c>
      <c r="G147" s="6">
        <v>772</v>
      </c>
      <c r="H147" s="6">
        <v>142</v>
      </c>
      <c r="I147" s="6">
        <v>18390</v>
      </c>
      <c r="J147" s="6">
        <f t="shared" si="10"/>
        <v>4179</v>
      </c>
      <c r="K147" s="6">
        <v>17875</v>
      </c>
      <c r="L147" s="6">
        <v>200</v>
      </c>
      <c r="M147" s="16" t="s">
        <v>33</v>
      </c>
      <c r="N147" s="17" t="s">
        <v>17</v>
      </c>
      <c r="O147" s="17"/>
      <c r="P147" s="7"/>
      <c r="Q147">
        <f>IFERROR(
  INDEX(Campaign!$C$2:$C$100, MATCH(M147, Campaign!$E$2:$E$100, 0)),
  0
)</f>
        <v>150000</v>
      </c>
      <c r="R147" s="25">
        <f>IFERROR(
  INDEX(Campaign!$C$2:$C$100, MATCH(N147, Campaign!$E$2:$E$100, 0)),
  0
)</f>
        <v>200000</v>
      </c>
      <c r="S147">
        <f>IFERROR(
  INDEX(Campaign!$C$2:$C$100, MATCH(O147, Campaign!$E$2:$E$100, 0)),
  0
)</f>
        <v>0</v>
      </c>
      <c r="T147">
        <f t="shared" si="11"/>
        <v>1.1939999999999999E-2</v>
      </c>
      <c r="U147">
        <f t="shared" si="12"/>
        <v>0.21636759108210984</v>
      </c>
      <c r="V147" s="40" t="str">
        <f>IFERROR(
  INDEX(Campaign!$A$2:$A$100, MATCH(M151, Campaign!$E$2:$E$100, 0)),
  ""
)</f>
        <v/>
      </c>
      <c r="W147" t="str">
        <f t="shared" si="13"/>
        <v>Before</v>
      </c>
      <c r="X147" s="19"/>
    </row>
    <row r="148" spans="1:24">
      <c r="A148" s="4" t="s">
        <v>202</v>
      </c>
      <c r="B148" s="4" t="s">
        <v>30</v>
      </c>
      <c r="C148" s="5">
        <v>45586</v>
      </c>
      <c r="D148" s="4" t="s">
        <v>14</v>
      </c>
      <c r="E148" s="4" t="s">
        <v>62</v>
      </c>
      <c r="F148" s="6">
        <v>3256</v>
      </c>
      <c r="G148" s="6">
        <v>459</v>
      </c>
      <c r="H148" s="6">
        <v>266</v>
      </c>
      <c r="I148" s="6">
        <v>26048</v>
      </c>
      <c r="J148" s="6">
        <f t="shared" si="10"/>
        <v>4124</v>
      </c>
      <c r="K148" s="6">
        <v>25529</v>
      </c>
      <c r="L148" s="6">
        <v>143</v>
      </c>
      <c r="M148" s="16" t="s">
        <v>22</v>
      </c>
      <c r="N148" s="17"/>
      <c r="O148" s="17"/>
      <c r="P148" s="4" t="s">
        <v>24</v>
      </c>
      <c r="Q148">
        <f>IFERROR(
  INDEX(Campaign!$C$2:$C$100, MATCH(M148, Campaign!$E$2:$E$100, 0)),
  0
)</f>
        <v>0</v>
      </c>
      <c r="R148" s="25">
        <f>IFERROR(
  INDEX(Campaign!$C$2:$C$100, MATCH(N148, Campaign!$E$2:$E$100, 0)),
  0
)</f>
        <v>0</v>
      </c>
      <c r="S148">
        <f>IFERROR(
  INDEX(Campaign!$C$2:$C$100, MATCH(O148, Campaign!$E$2:$E$100, 0)),
  0
)</f>
        <v>0</v>
      </c>
      <c r="T148" t="str">
        <f t="shared" si="11"/>
        <v/>
      </c>
      <c r="U148">
        <f t="shared" si="12"/>
        <v>0.15283323095823095</v>
      </c>
      <c r="V148" s="40">
        <f>IFERROR(
  INDEX(Campaign!$A$2:$A$100, MATCH(M152, Campaign!$E$2:$E$100, 0)),
  ""
)</f>
        <v>45488</v>
      </c>
      <c r="W148" t="str">
        <f t="shared" si="13"/>
        <v>Before</v>
      </c>
      <c r="X148" s="19"/>
    </row>
    <row r="149" spans="1:24">
      <c r="A149" s="4" t="s">
        <v>203</v>
      </c>
      <c r="B149" s="4" t="s">
        <v>30</v>
      </c>
      <c r="C149" s="5">
        <v>45762</v>
      </c>
      <c r="D149" s="4" t="s">
        <v>57</v>
      </c>
      <c r="E149" s="4" t="s">
        <v>64</v>
      </c>
      <c r="F149" s="6">
        <v>4133</v>
      </c>
      <c r="G149" s="6">
        <v>466</v>
      </c>
      <c r="H149" s="6">
        <v>327</v>
      </c>
      <c r="I149" s="6">
        <v>24798</v>
      </c>
      <c r="J149" s="6">
        <f t="shared" si="10"/>
        <v>5102</v>
      </c>
      <c r="K149" s="6">
        <v>24620</v>
      </c>
      <c r="L149" s="6">
        <v>176</v>
      </c>
      <c r="M149" s="16" t="s">
        <v>33</v>
      </c>
      <c r="N149" s="17"/>
      <c r="O149" s="17"/>
      <c r="P149" s="4" t="s">
        <v>34</v>
      </c>
      <c r="Q149">
        <f>IFERROR(
  INDEX(Campaign!$C$2:$C$100, MATCH(M149, Campaign!$E$2:$E$100, 0)),
  0
)</f>
        <v>150000</v>
      </c>
      <c r="R149" s="25">
        <f>IFERROR(
  INDEX(Campaign!$C$2:$C$100, MATCH(N149, Campaign!$E$2:$E$100, 0)),
  0
)</f>
        <v>0</v>
      </c>
      <c r="S149">
        <f>IFERROR(
  INDEX(Campaign!$C$2:$C$100, MATCH(O149, Campaign!$E$2:$E$100, 0)),
  0
)</f>
        <v>0</v>
      </c>
      <c r="T149">
        <f t="shared" si="11"/>
        <v>3.4013333333333333E-2</v>
      </c>
      <c r="U149">
        <f t="shared" si="12"/>
        <v>0.19864505202032423</v>
      </c>
      <c r="V149" s="40">
        <f>IFERROR(
  INDEX(Campaign!$A$2:$A$100, MATCH(M153, Campaign!$E$2:$E$100, 0)),
  ""
)</f>
        <v>45488</v>
      </c>
      <c r="W149" t="str">
        <f t="shared" si="13"/>
        <v>Before</v>
      </c>
      <c r="X149" s="19"/>
    </row>
    <row r="150" spans="1:24">
      <c r="A150" s="4" t="s">
        <v>204</v>
      </c>
      <c r="B150" s="4" t="s">
        <v>13</v>
      </c>
      <c r="C150" s="5">
        <v>45459</v>
      </c>
      <c r="D150" s="4" t="s">
        <v>57</v>
      </c>
      <c r="E150" s="4" t="s">
        <v>96</v>
      </c>
      <c r="F150" s="6">
        <v>1702</v>
      </c>
      <c r="G150" s="6">
        <v>750</v>
      </c>
      <c r="H150" s="6">
        <v>179</v>
      </c>
      <c r="I150" s="6">
        <v>34040</v>
      </c>
      <c r="J150" s="6">
        <f t="shared" si="10"/>
        <v>2707</v>
      </c>
      <c r="K150" s="6">
        <v>33174</v>
      </c>
      <c r="L150" s="6">
        <v>76</v>
      </c>
      <c r="M150" s="16" t="s">
        <v>33</v>
      </c>
      <c r="N150" s="17"/>
      <c r="O150" s="17"/>
      <c r="P150" s="4" t="s">
        <v>18</v>
      </c>
      <c r="Q150">
        <f>IFERROR(
  INDEX(Campaign!$C$2:$C$100, MATCH(M150, Campaign!$E$2:$E$100, 0)),
  0
)</f>
        <v>150000</v>
      </c>
      <c r="R150" s="25">
        <f>IFERROR(
  INDEX(Campaign!$C$2:$C$100, MATCH(N150, Campaign!$E$2:$E$100, 0)),
  0
)</f>
        <v>0</v>
      </c>
      <c r="S150">
        <f>IFERROR(
  INDEX(Campaign!$C$2:$C$100, MATCH(O150, Campaign!$E$2:$E$100, 0)),
  0
)</f>
        <v>0</v>
      </c>
      <c r="T150">
        <f t="shared" si="11"/>
        <v>1.8046666666666666E-2</v>
      </c>
      <c r="U150">
        <f t="shared" si="12"/>
        <v>7.7291421856639245E-2</v>
      </c>
      <c r="V150" s="40" t="str">
        <f>IFERROR(
  INDEX(Campaign!$A$2:$A$100, MATCH(M154, Campaign!$E$2:$E$100, 0)),
  ""
)</f>
        <v/>
      </c>
      <c r="W150" t="str">
        <f t="shared" si="13"/>
        <v>Before</v>
      </c>
      <c r="X150" s="19"/>
    </row>
    <row r="151" spans="1:24">
      <c r="A151" s="4" t="s">
        <v>205</v>
      </c>
      <c r="B151" s="4" t="s">
        <v>26</v>
      </c>
      <c r="C151" s="5">
        <v>45526</v>
      </c>
      <c r="D151" s="4" t="s">
        <v>38</v>
      </c>
      <c r="E151" s="4" t="s">
        <v>53</v>
      </c>
      <c r="F151" s="6">
        <v>4295</v>
      </c>
      <c r="G151" s="6">
        <v>853</v>
      </c>
      <c r="H151" s="6">
        <v>325</v>
      </c>
      <c r="I151" s="6">
        <v>85900</v>
      </c>
      <c r="J151" s="6">
        <f t="shared" si="10"/>
        <v>5763</v>
      </c>
      <c r="K151" s="6">
        <v>85788</v>
      </c>
      <c r="L151" s="6">
        <v>290</v>
      </c>
      <c r="M151" s="16" t="s">
        <v>22</v>
      </c>
      <c r="N151" s="17"/>
      <c r="O151" s="17"/>
      <c r="P151" s="4" t="s">
        <v>34</v>
      </c>
      <c r="Q151">
        <f>IFERROR(
  INDEX(Campaign!$C$2:$C$100, MATCH(M151, Campaign!$E$2:$E$100, 0)),
  0
)</f>
        <v>0</v>
      </c>
      <c r="R151" s="25">
        <f>IFERROR(
  INDEX(Campaign!$C$2:$C$100, MATCH(N151, Campaign!$E$2:$E$100, 0)),
  0
)</f>
        <v>0</v>
      </c>
      <c r="S151">
        <f>IFERROR(
  INDEX(Campaign!$C$2:$C$100, MATCH(O151, Campaign!$E$2:$E$100, 0)),
  0
)</f>
        <v>0</v>
      </c>
      <c r="T151" t="str">
        <f t="shared" si="11"/>
        <v/>
      </c>
      <c r="U151">
        <f t="shared" si="12"/>
        <v>6.3713620488940623E-2</v>
      </c>
      <c r="V151" s="40" t="str">
        <f>IFERROR(
  INDEX(Campaign!$A$2:$A$100, MATCH(M155, Campaign!$E$2:$E$100, 0)),
  ""
)</f>
        <v/>
      </c>
      <c r="W151" t="str">
        <f t="shared" si="13"/>
        <v>Before</v>
      </c>
      <c r="X151" s="19"/>
    </row>
    <row r="152" spans="1:24">
      <c r="A152" s="4" t="s">
        <v>206</v>
      </c>
      <c r="B152" s="4" t="s">
        <v>30</v>
      </c>
      <c r="C152" s="5">
        <v>45499</v>
      </c>
      <c r="D152" s="4" t="s">
        <v>43</v>
      </c>
      <c r="E152" s="4" t="s">
        <v>135</v>
      </c>
      <c r="F152" s="6">
        <v>3559</v>
      </c>
      <c r="G152" s="6">
        <v>59</v>
      </c>
      <c r="H152" s="6">
        <v>289</v>
      </c>
      <c r="I152" s="6">
        <v>35590</v>
      </c>
      <c r="J152" s="6">
        <f t="shared" si="10"/>
        <v>4029</v>
      </c>
      <c r="K152" s="6">
        <v>35105</v>
      </c>
      <c r="L152" s="6">
        <v>122</v>
      </c>
      <c r="M152" s="16" t="s">
        <v>33</v>
      </c>
      <c r="N152" s="17"/>
      <c r="O152" s="17"/>
      <c r="P152" s="4" t="s">
        <v>18</v>
      </c>
      <c r="Q152">
        <f>IFERROR(
  INDEX(Campaign!$C$2:$C$100, MATCH(M152, Campaign!$E$2:$E$100, 0)),
  0
)</f>
        <v>150000</v>
      </c>
      <c r="R152" s="25">
        <f>IFERROR(
  INDEX(Campaign!$C$2:$C$100, MATCH(N152, Campaign!$E$2:$E$100, 0)),
  0
)</f>
        <v>0</v>
      </c>
      <c r="S152">
        <f>IFERROR(
  INDEX(Campaign!$C$2:$C$100, MATCH(O152, Campaign!$E$2:$E$100, 0)),
  0
)</f>
        <v>0</v>
      </c>
      <c r="T152">
        <f t="shared" si="11"/>
        <v>2.6859999999999998E-2</v>
      </c>
      <c r="U152">
        <f t="shared" si="12"/>
        <v>0.10977802753582468</v>
      </c>
      <c r="V152" s="40" t="str">
        <f>IFERROR(
  INDEX(Campaign!$A$2:$A$100, MATCH(M156, Campaign!$E$2:$E$100, 0)),
  ""
)</f>
        <v/>
      </c>
      <c r="W152" t="str">
        <f t="shared" si="13"/>
        <v>Before</v>
      </c>
      <c r="X152" s="19"/>
    </row>
    <row r="153" spans="1:24">
      <c r="A153" s="4" t="s">
        <v>207</v>
      </c>
      <c r="B153" s="4" t="s">
        <v>37</v>
      </c>
      <c r="C153" s="5">
        <v>45769</v>
      </c>
      <c r="D153" s="4" t="s">
        <v>43</v>
      </c>
      <c r="E153" s="4" t="s">
        <v>48</v>
      </c>
      <c r="F153" s="6">
        <v>4804</v>
      </c>
      <c r="G153" s="6">
        <v>550</v>
      </c>
      <c r="H153" s="6">
        <v>270</v>
      </c>
      <c r="I153" s="6">
        <v>28824</v>
      </c>
      <c r="J153" s="6">
        <f t="shared" si="10"/>
        <v>5671</v>
      </c>
      <c r="K153" s="6">
        <v>28370</v>
      </c>
      <c r="L153" s="6">
        <v>47</v>
      </c>
      <c r="M153" s="16" t="s">
        <v>33</v>
      </c>
      <c r="N153" s="17"/>
      <c r="O153" s="17"/>
      <c r="P153" s="4" t="s">
        <v>34</v>
      </c>
      <c r="Q153">
        <f>IFERROR(
  INDEX(Campaign!$C$2:$C$100, MATCH(M153, Campaign!$E$2:$E$100, 0)),
  0
)</f>
        <v>150000</v>
      </c>
      <c r="R153" s="25">
        <f>IFERROR(
  INDEX(Campaign!$C$2:$C$100, MATCH(N153, Campaign!$E$2:$E$100, 0)),
  0
)</f>
        <v>0</v>
      </c>
      <c r="S153">
        <f>IFERROR(
  INDEX(Campaign!$C$2:$C$100, MATCH(O153, Campaign!$E$2:$E$100, 0)),
  0
)</f>
        <v>0</v>
      </c>
      <c r="T153">
        <f t="shared" si="11"/>
        <v>3.7806666666666669E-2</v>
      </c>
      <c r="U153">
        <f t="shared" si="12"/>
        <v>0.19511518179295032</v>
      </c>
      <c r="V153" s="40" t="str">
        <f>IFERROR(
  INDEX(Campaign!$A$2:$A$100, MATCH(M157, Campaign!$E$2:$E$100, 0)),
  ""
)</f>
        <v/>
      </c>
      <c r="W153" t="str">
        <f t="shared" si="13"/>
        <v>Before</v>
      </c>
      <c r="X153" s="19"/>
    </row>
    <row r="154" spans="1:24">
      <c r="A154" s="4" t="s">
        <v>208</v>
      </c>
      <c r="B154" s="4" t="s">
        <v>13</v>
      </c>
      <c r="C154" s="5">
        <v>45658</v>
      </c>
      <c r="D154" s="4" t="s">
        <v>57</v>
      </c>
      <c r="E154" s="4" t="s">
        <v>96</v>
      </c>
      <c r="F154" s="6">
        <v>754</v>
      </c>
      <c r="G154" s="6">
        <v>197</v>
      </c>
      <c r="H154" s="6">
        <v>257</v>
      </c>
      <c r="I154" s="6">
        <v>6786</v>
      </c>
      <c r="J154" s="6">
        <f t="shared" si="10"/>
        <v>1420</v>
      </c>
      <c r="K154" s="6">
        <v>6221</v>
      </c>
      <c r="L154" s="6">
        <v>212</v>
      </c>
      <c r="M154" s="16" t="s">
        <v>22</v>
      </c>
      <c r="N154" s="17"/>
      <c r="O154" s="17"/>
      <c r="P154" s="4" t="s">
        <v>28</v>
      </c>
      <c r="Q154">
        <f>IFERROR(
  INDEX(Campaign!$C$2:$C$100, MATCH(M154, Campaign!$E$2:$E$100, 0)),
  0
)</f>
        <v>0</v>
      </c>
      <c r="R154" s="25">
        <f>IFERROR(
  INDEX(Campaign!$C$2:$C$100, MATCH(N154, Campaign!$E$2:$E$100, 0)),
  0
)</f>
        <v>0</v>
      </c>
      <c r="S154">
        <f>IFERROR(
  INDEX(Campaign!$C$2:$C$100, MATCH(O154, Campaign!$E$2:$E$100, 0)),
  0
)</f>
        <v>0</v>
      </c>
      <c r="T154" t="str">
        <f t="shared" si="11"/>
        <v/>
      </c>
      <c r="U154">
        <f t="shared" si="12"/>
        <v>0.17801355732390214</v>
      </c>
      <c r="V154" s="40" t="str">
        <f>IFERROR(
  INDEX(Campaign!$A$2:$A$100, MATCH(M158, Campaign!$E$2:$E$100, 0)),
  ""
)</f>
        <v/>
      </c>
      <c r="W154" t="str">
        <f t="shared" si="13"/>
        <v>Before</v>
      </c>
      <c r="X154" s="19"/>
    </row>
    <row r="155" spans="1:24">
      <c r="A155" s="4" t="s">
        <v>209</v>
      </c>
      <c r="B155" s="4" t="s">
        <v>30</v>
      </c>
      <c r="C155" s="5">
        <v>45574</v>
      </c>
      <c r="D155" s="4" t="s">
        <v>38</v>
      </c>
      <c r="E155" s="4" t="s">
        <v>66</v>
      </c>
      <c r="F155" s="6">
        <v>985</v>
      </c>
      <c r="G155" s="6">
        <v>932</v>
      </c>
      <c r="H155" s="6">
        <v>287</v>
      </c>
      <c r="I155" s="6">
        <v>6895</v>
      </c>
      <c r="J155" s="6">
        <f t="shared" si="10"/>
        <v>2268</v>
      </c>
      <c r="K155" s="6">
        <v>6757</v>
      </c>
      <c r="L155" s="6">
        <v>64</v>
      </c>
      <c r="M155" s="16" t="s">
        <v>16</v>
      </c>
      <c r="N155" s="17"/>
      <c r="O155" s="17"/>
      <c r="P155" s="4" t="s">
        <v>34</v>
      </c>
      <c r="Q155">
        <f>IFERROR(
  INDEX(Campaign!$C$2:$C$100, MATCH(M155, Campaign!$E$2:$E$100, 0)),
  0
)</f>
        <v>0</v>
      </c>
      <c r="R155" s="25">
        <f>IFERROR(
  INDEX(Campaign!$C$2:$C$100, MATCH(N155, Campaign!$E$2:$E$100, 0)),
  0
)</f>
        <v>0</v>
      </c>
      <c r="S155">
        <f>IFERROR(
  INDEX(Campaign!$C$2:$C$100, MATCH(O155, Campaign!$E$2:$E$100, 0)),
  0
)</f>
        <v>0</v>
      </c>
      <c r="T155" t="str">
        <f t="shared" si="11"/>
        <v/>
      </c>
      <c r="U155">
        <f t="shared" si="12"/>
        <v>0.31965192168237855</v>
      </c>
      <c r="V155" s="40" t="str">
        <f>IFERROR(
  INDEX(Campaign!$A$2:$A$100, MATCH(M159, Campaign!$E$2:$E$100, 0)),
  ""
)</f>
        <v/>
      </c>
      <c r="W155" t="str">
        <f t="shared" si="13"/>
        <v>Before</v>
      </c>
      <c r="X155" s="19"/>
    </row>
    <row r="156" spans="1:24">
      <c r="A156" s="4" t="s">
        <v>210</v>
      </c>
      <c r="B156" s="4" t="s">
        <v>26</v>
      </c>
      <c r="C156" s="5">
        <v>45647</v>
      </c>
      <c r="D156" s="4" t="s">
        <v>43</v>
      </c>
      <c r="E156" s="4" t="s">
        <v>44</v>
      </c>
      <c r="F156" s="6">
        <v>2283</v>
      </c>
      <c r="G156" s="6">
        <v>210</v>
      </c>
      <c r="H156" s="6">
        <v>130</v>
      </c>
      <c r="I156" s="6">
        <v>22830</v>
      </c>
      <c r="J156" s="6">
        <f t="shared" si="10"/>
        <v>2766</v>
      </c>
      <c r="K156" s="6">
        <v>22617</v>
      </c>
      <c r="L156" s="6">
        <v>143</v>
      </c>
      <c r="M156" s="16" t="s">
        <v>16</v>
      </c>
      <c r="N156" s="17"/>
      <c r="O156" s="17"/>
      <c r="P156" s="4" t="s">
        <v>24</v>
      </c>
      <c r="Q156">
        <f>IFERROR(
  INDEX(Campaign!$C$2:$C$100, MATCH(M156, Campaign!$E$2:$E$100, 0)),
  0
)</f>
        <v>0</v>
      </c>
      <c r="R156" s="25">
        <f>IFERROR(
  INDEX(Campaign!$C$2:$C$100, MATCH(N156, Campaign!$E$2:$E$100, 0)),
  0
)</f>
        <v>0</v>
      </c>
      <c r="S156">
        <f>IFERROR(
  INDEX(Campaign!$C$2:$C$100, MATCH(O156, Campaign!$E$2:$E$100, 0)),
  0
)</f>
        <v>0</v>
      </c>
      <c r="T156" t="str">
        <f t="shared" si="11"/>
        <v/>
      </c>
      <c r="U156">
        <f t="shared" si="12"/>
        <v>0.11489268506351293</v>
      </c>
      <c r="V156" s="40" t="str">
        <f>IFERROR(
  INDEX(Campaign!$A$2:$A$100, MATCH(M160, Campaign!$E$2:$E$100, 0)),
  ""
)</f>
        <v/>
      </c>
      <c r="W156" t="str">
        <f t="shared" si="13"/>
        <v>Before</v>
      </c>
      <c r="X156" s="19"/>
    </row>
    <row r="157" spans="1:24">
      <c r="A157" s="4" t="s">
        <v>211</v>
      </c>
      <c r="B157" s="4" t="s">
        <v>37</v>
      </c>
      <c r="C157" s="5">
        <v>45587</v>
      </c>
      <c r="D157" s="4" t="s">
        <v>38</v>
      </c>
      <c r="E157" s="4" t="s">
        <v>39</v>
      </c>
      <c r="F157" s="6">
        <v>3352</v>
      </c>
      <c r="G157" s="6">
        <v>941</v>
      </c>
      <c r="H157" s="6">
        <v>482</v>
      </c>
      <c r="I157" s="6">
        <v>43576</v>
      </c>
      <c r="J157" s="6">
        <f t="shared" si="10"/>
        <v>5015</v>
      </c>
      <c r="K157" s="6">
        <v>43338</v>
      </c>
      <c r="L157" s="6">
        <v>240</v>
      </c>
      <c r="M157" s="16" t="s">
        <v>16</v>
      </c>
      <c r="N157" s="17"/>
      <c r="O157" s="17"/>
      <c r="P157" s="4" t="s">
        <v>24</v>
      </c>
      <c r="Q157">
        <f>IFERROR(
  INDEX(Campaign!$C$2:$C$100, MATCH(M157, Campaign!$E$2:$E$100, 0)),
  0
)</f>
        <v>0</v>
      </c>
      <c r="R157" s="25">
        <f>IFERROR(
  INDEX(Campaign!$C$2:$C$100, MATCH(N157, Campaign!$E$2:$E$100, 0)),
  0
)</f>
        <v>0</v>
      </c>
      <c r="S157">
        <f>IFERROR(
  INDEX(Campaign!$C$2:$C$100, MATCH(O157, Campaign!$E$2:$E$100, 0)),
  0
)</f>
        <v>0</v>
      </c>
      <c r="T157" t="str">
        <f t="shared" si="11"/>
        <v/>
      </c>
      <c r="U157">
        <f t="shared" si="12"/>
        <v>0.1095786671562328</v>
      </c>
      <c r="V157" s="40" t="str">
        <f>IFERROR(
  INDEX(Campaign!$A$2:$A$100, MATCH(M161, Campaign!$E$2:$E$100, 0)),
  ""
)</f>
        <v/>
      </c>
      <c r="W157" t="str">
        <f t="shared" si="13"/>
        <v>Before</v>
      </c>
      <c r="X157" s="19"/>
    </row>
    <row r="158" spans="1:24">
      <c r="A158" s="4" t="s">
        <v>212</v>
      </c>
      <c r="B158" s="4" t="s">
        <v>26</v>
      </c>
      <c r="C158" s="5">
        <v>45496</v>
      </c>
      <c r="D158" s="4" t="s">
        <v>31</v>
      </c>
      <c r="E158" s="4" t="s">
        <v>102</v>
      </c>
      <c r="F158" s="6">
        <v>4775</v>
      </c>
      <c r="G158" s="6">
        <v>173</v>
      </c>
      <c r="H158" s="6">
        <v>206</v>
      </c>
      <c r="I158" s="6">
        <v>47750</v>
      </c>
      <c r="J158" s="6">
        <f t="shared" si="10"/>
        <v>5341</v>
      </c>
      <c r="K158" s="6">
        <v>47544</v>
      </c>
      <c r="L158" s="6">
        <v>187</v>
      </c>
      <c r="M158" s="16" t="s">
        <v>16</v>
      </c>
      <c r="N158" s="17"/>
      <c r="O158" s="17"/>
      <c r="P158" s="4" t="s">
        <v>24</v>
      </c>
      <c r="Q158">
        <f>IFERROR(
  INDEX(Campaign!$C$2:$C$100, MATCH(M158, Campaign!$E$2:$E$100, 0)),
  0
)</f>
        <v>0</v>
      </c>
      <c r="R158" s="25">
        <f>IFERROR(
  INDEX(Campaign!$C$2:$C$100, MATCH(N158, Campaign!$E$2:$E$100, 0)),
  0
)</f>
        <v>0</v>
      </c>
      <c r="S158">
        <f>IFERROR(
  INDEX(Campaign!$C$2:$C$100, MATCH(O158, Campaign!$E$2:$E$100, 0)),
  0
)</f>
        <v>0</v>
      </c>
      <c r="T158" t="str">
        <f t="shared" si="11"/>
        <v/>
      </c>
      <c r="U158">
        <f t="shared" si="12"/>
        <v>0.10793717277486911</v>
      </c>
      <c r="V158" s="40" t="str">
        <f>IFERROR(
  INDEX(Campaign!$A$2:$A$100, MATCH(M162, Campaign!$E$2:$E$100, 0)),
  ""
)</f>
        <v/>
      </c>
      <c r="W158" t="str">
        <f t="shared" si="13"/>
        <v>Before</v>
      </c>
      <c r="X158" s="19"/>
    </row>
    <row r="159" spans="1:24">
      <c r="A159" s="4" t="s">
        <v>213</v>
      </c>
      <c r="B159" s="4" t="s">
        <v>30</v>
      </c>
      <c r="C159" s="5">
        <v>45515</v>
      </c>
      <c r="D159" s="4" t="s">
        <v>31</v>
      </c>
      <c r="E159" s="4" t="s">
        <v>32</v>
      </c>
      <c r="F159" s="6">
        <v>1762</v>
      </c>
      <c r="G159" s="6">
        <v>405</v>
      </c>
      <c r="H159" s="6">
        <v>423</v>
      </c>
      <c r="I159" s="6">
        <v>22906</v>
      </c>
      <c r="J159" s="6">
        <f t="shared" si="10"/>
        <v>2615</v>
      </c>
      <c r="K159" s="6">
        <v>21925</v>
      </c>
      <c r="L159" s="6">
        <v>25</v>
      </c>
      <c r="M159" s="16" t="s">
        <v>22</v>
      </c>
      <c r="N159" s="17"/>
      <c r="O159" s="17"/>
      <c r="P159" s="4" t="s">
        <v>18</v>
      </c>
      <c r="Q159">
        <f>IFERROR(
  INDEX(Campaign!$C$2:$C$100, MATCH(M159, Campaign!$E$2:$E$100, 0)),
  0
)</f>
        <v>0</v>
      </c>
      <c r="R159" s="25">
        <f>IFERROR(
  INDEX(Campaign!$C$2:$C$100, MATCH(N159, Campaign!$E$2:$E$100, 0)),
  0
)</f>
        <v>0</v>
      </c>
      <c r="S159">
        <f>IFERROR(
  INDEX(Campaign!$C$2:$C$100, MATCH(O159, Campaign!$E$2:$E$100, 0)),
  0
)</f>
        <v>0</v>
      </c>
      <c r="T159" t="str">
        <f t="shared" si="11"/>
        <v/>
      </c>
      <c r="U159">
        <f t="shared" si="12"/>
        <v>0.11307081114118571</v>
      </c>
      <c r="V159" s="40" t="str">
        <f>IFERROR(
  INDEX(Campaign!$A$2:$A$100, MATCH(M163, Campaign!$E$2:$E$100, 0)),
  ""
)</f>
        <v/>
      </c>
      <c r="W159" t="str">
        <f t="shared" si="13"/>
        <v>Before</v>
      </c>
      <c r="X159" s="19"/>
    </row>
    <row r="160" spans="1:24">
      <c r="A160" s="4" t="s">
        <v>214</v>
      </c>
      <c r="B160" s="4" t="s">
        <v>37</v>
      </c>
      <c r="C160" s="5">
        <v>45621</v>
      </c>
      <c r="D160" s="4" t="s">
        <v>31</v>
      </c>
      <c r="E160" s="4" t="s">
        <v>55</v>
      </c>
      <c r="F160" s="6">
        <v>2120</v>
      </c>
      <c r="G160" s="6">
        <v>158</v>
      </c>
      <c r="H160" s="6">
        <v>488</v>
      </c>
      <c r="I160" s="6">
        <v>12720</v>
      </c>
      <c r="J160" s="6">
        <f t="shared" si="10"/>
        <v>2783</v>
      </c>
      <c r="K160" s="6">
        <v>12085</v>
      </c>
      <c r="L160" s="6">
        <v>17</v>
      </c>
      <c r="M160" s="16" t="s">
        <v>16</v>
      </c>
      <c r="N160" s="17"/>
      <c r="O160" s="17"/>
      <c r="P160" s="4" t="s">
        <v>24</v>
      </c>
      <c r="Q160">
        <f>IFERROR(
  INDEX(Campaign!$C$2:$C$100, MATCH(M160, Campaign!$E$2:$E$100, 0)),
  0
)</f>
        <v>0</v>
      </c>
      <c r="R160" s="25">
        <f>IFERROR(
  INDEX(Campaign!$C$2:$C$100, MATCH(N160, Campaign!$E$2:$E$100, 0)),
  0
)</f>
        <v>0</v>
      </c>
      <c r="S160">
        <f>IFERROR(
  INDEX(Campaign!$C$2:$C$100, MATCH(O160, Campaign!$E$2:$E$100, 0)),
  0
)</f>
        <v>0</v>
      </c>
      <c r="T160" t="str">
        <f t="shared" si="11"/>
        <v/>
      </c>
      <c r="U160">
        <f t="shared" si="12"/>
        <v>0.21745283018867925</v>
      </c>
      <c r="V160" s="40" t="str">
        <f>IFERROR(
  INDEX(Campaign!$A$2:$A$100, MATCH(M164, Campaign!$E$2:$E$100, 0)),
  ""
)</f>
        <v/>
      </c>
      <c r="W160" t="str">
        <f t="shared" si="13"/>
        <v>Before</v>
      </c>
      <c r="X160" s="19"/>
    </row>
    <row r="161" spans="1:24">
      <c r="A161" s="4" t="s">
        <v>215</v>
      </c>
      <c r="B161" s="4" t="s">
        <v>13</v>
      </c>
      <c r="C161" s="5">
        <v>45528</v>
      </c>
      <c r="D161" s="4" t="s">
        <v>57</v>
      </c>
      <c r="E161" s="4" t="s">
        <v>96</v>
      </c>
      <c r="F161" s="6">
        <v>1082</v>
      </c>
      <c r="G161" s="6">
        <v>209</v>
      </c>
      <c r="H161" s="6">
        <v>484</v>
      </c>
      <c r="I161" s="6">
        <v>19476</v>
      </c>
      <c r="J161" s="6">
        <f t="shared" si="10"/>
        <v>1795</v>
      </c>
      <c r="K161" s="6">
        <v>18654</v>
      </c>
      <c r="L161" s="6">
        <v>20</v>
      </c>
      <c r="M161" s="16" t="s">
        <v>22</v>
      </c>
      <c r="N161" s="17"/>
      <c r="O161" s="17"/>
      <c r="P161" s="7"/>
      <c r="Q161">
        <f>IFERROR(
  INDEX(Campaign!$C$2:$C$100, MATCH(M161, Campaign!$E$2:$E$100, 0)),
  0
)</f>
        <v>0</v>
      </c>
      <c r="R161" s="25">
        <f>IFERROR(
  INDEX(Campaign!$C$2:$C$100, MATCH(N161, Campaign!$E$2:$E$100, 0)),
  0
)</f>
        <v>0</v>
      </c>
      <c r="S161">
        <f>IFERROR(
  INDEX(Campaign!$C$2:$C$100, MATCH(O161, Campaign!$E$2:$E$100, 0)),
  0
)</f>
        <v>0</v>
      </c>
      <c r="T161" t="str">
        <f t="shared" si="11"/>
        <v/>
      </c>
      <c r="U161">
        <f t="shared" si="12"/>
        <v>9.1137810638734856E-2</v>
      </c>
      <c r="V161" s="40" t="str">
        <f>IFERROR(
  INDEX(Campaign!$A$2:$A$100, MATCH(M165, Campaign!$E$2:$E$100, 0)),
  ""
)</f>
        <v/>
      </c>
      <c r="W161" t="str">
        <f t="shared" si="13"/>
        <v>Before</v>
      </c>
      <c r="X161" s="19"/>
    </row>
    <row r="162" spans="1:24">
      <c r="A162" s="4" t="s">
        <v>216</v>
      </c>
      <c r="B162" s="4" t="s">
        <v>13</v>
      </c>
      <c r="C162" s="5">
        <v>45707</v>
      </c>
      <c r="D162" s="4" t="s">
        <v>20</v>
      </c>
      <c r="E162" s="4" t="s">
        <v>21</v>
      </c>
      <c r="F162" s="6">
        <v>4671</v>
      </c>
      <c r="G162" s="6">
        <v>876</v>
      </c>
      <c r="H162" s="6">
        <v>366</v>
      </c>
      <c r="I162" s="6">
        <v>51381</v>
      </c>
      <c r="J162" s="6">
        <f t="shared" si="10"/>
        <v>6158</v>
      </c>
      <c r="K162" s="6">
        <v>50565</v>
      </c>
      <c r="L162" s="6">
        <v>245</v>
      </c>
      <c r="M162" s="16" t="s">
        <v>22</v>
      </c>
      <c r="N162" s="17"/>
      <c r="O162" s="17"/>
      <c r="P162" s="4" t="s">
        <v>34</v>
      </c>
      <c r="Q162">
        <f>IFERROR(
  INDEX(Campaign!$C$2:$C$100, MATCH(M162, Campaign!$E$2:$E$100, 0)),
  0
)</f>
        <v>0</v>
      </c>
      <c r="R162" s="25">
        <f>IFERROR(
  INDEX(Campaign!$C$2:$C$100, MATCH(N162, Campaign!$E$2:$E$100, 0)),
  0
)</f>
        <v>0</v>
      </c>
      <c r="S162">
        <f>IFERROR(
  INDEX(Campaign!$C$2:$C$100, MATCH(O162, Campaign!$E$2:$E$100, 0)),
  0
)</f>
        <v>0</v>
      </c>
      <c r="T162" t="str">
        <f t="shared" si="11"/>
        <v/>
      </c>
      <c r="U162">
        <f t="shared" si="12"/>
        <v>0.11508145034156594</v>
      </c>
      <c r="V162" s="40" t="str">
        <f>IFERROR(
  INDEX(Campaign!$A$2:$A$100, MATCH(M166, Campaign!$E$2:$E$100, 0)),
  ""
)</f>
        <v/>
      </c>
      <c r="W162" t="str">
        <f t="shared" si="13"/>
        <v>Before</v>
      </c>
      <c r="X162" s="19"/>
    </row>
    <row r="163" spans="1:24">
      <c r="A163" s="4" t="s">
        <v>217</v>
      </c>
      <c r="B163" s="4" t="s">
        <v>37</v>
      </c>
      <c r="C163" s="5">
        <v>45748</v>
      </c>
      <c r="D163" s="4" t="s">
        <v>31</v>
      </c>
      <c r="E163" s="4" t="s">
        <v>55</v>
      </c>
      <c r="F163" s="6">
        <v>3430</v>
      </c>
      <c r="G163" s="6">
        <v>566</v>
      </c>
      <c r="H163" s="6">
        <v>164</v>
      </c>
      <c r="I163" s="6">
        <v>48020</v>
      </c>
      <c r="J163" s="6">
        <f t="shared" si="10"/>
        <v>4280</v>
      </c>
      <c r="K163" s="6">
        <v>47305</v>
      </c>
      <c r="L163" s="6">
        <v>120</v>
      </c>
      <c r="M163" s="16" t="s">
        <v>16</v>
      </c>
      <c r="N163" s="17"/>
      <c r="O163" s="17"/>
      <c r="P163" s="7"/>
      <c r="Q163">
        <f>IFERROR(
  INDEX(Campaign!$C$2:$C$100, MATCH(M163, Campaign!$E$2:$E$100, 0)),
  0
)</f>
        <v>0</v>
      </c>
      <c r="R163" s="25">
        <f>IFERROR(
  INDEX(Campaign!$C$2:$C$100, MATCH(N163, Campaign!$E$2:$E$100, 0)),
  0
)</f>
        <v>0</v>
      </c>
      <c r="S163">
        <f>IFERROR(
  INDEX(Campaign!$C$2:$C$100, MATCH(O163, Campaign!$E$2:$E$100, 0)),
  0
)</f>
        <v>0</v>
      </c>
      <c r="T163" t="str">
        <f t="shared" si="11"/>
        <v/>
      </c>
      <c r="U163">
        <f t="shared" si="12"/>
        <v>8.6630570595585168E-2</v>
      </c>
      <c r="V163" s="40" t="str">
        <f>IFERROR(
  INDEX(Campaign!$A$2:$A$100, MATCH(M167, Campaign!$E$2:$E$100, 0)),
  ""
)</f>
        <v/>
      </c>
      <c r="W163" t="str">
        <f t="shared" si="13"/>
        <v>Before</v>
      </c>
      <c r="X163" s="19"/>
    </row>
    <row r="164" spans="1:24">
      <c r="A164" s="4" t="s">
        <v>218</v>
      </c>
      <c r="B164" s="4" t="s">
        <v>30</v>
      </c>
      <c r="C164" s="5">
        <v>45755</v>
      </c>
      <c r="D164" s="4" t="s">
        <v>43</v>
      </c>
      <c r="E164" s="4" t="s">
        <v>135</v>
      </c>
      <c r="F164" s="6">
        <v>4501</v>
      </c>
      <c r="G164" s="6">
        <v>375</v>
      </c>
      <c r="H164" s="6">
        <v>323</v>
      </c>
      <c r="I164" s="6">
        <v>22505</v>
      </c>
      <c r="J164" s="6">
        <f t="shared" si="10"/>
        <v>5331</v>
      </c>
      <c r="K164" s="6">
        <v>21836</v>
      </c>
      <c r="L164" s="6">
        <v>132</v>
      </c>
      <c r="M164" s="16" t="s">
        <v>22</v>
      </c>
      <c r="N164" s="17"/>
      <c r="O164" s="17"/>
      <c r="P164" s="4" t="s">
        <v>24</v>
      </c>
      <c r="Q164">
        <f>IFERROR(
  INDEX(Campaign!$C$2:$C$100, MATCH(M164, Campaign!$E$2:$E$100, 0)),
  0
)</f>
        <v>0</v>
      </c>
      <c r="R164" s="25">
        <f>IFERROR(
  INDEX(Campaign!$C$2:$C$100, MATCH(N164, Campaign!$E$2:$E$100, 0)),
  0
)</f>
        <v>0</v>
      </c>
      <c r="S164">
        <f>IFERROR(
  INDEX(Campaign!$C$2:$C$100, MATCH(O164, Campaign!$E$2:$E$100, 0)),
  0
)</f>
        <v>0</v>
      </c>
      <c r="T164" t="str">
        <f t="shared" si="11"/>
        <v/>
      </c>
      <c r="U164">
        <f t="shared" si="12"/>
        <v>0.23101532992668297</v>
      </c>
      <c r="V164" s="40" t="str">
        <f>IFERROR(
  INDEX(Campaign!$A$2:$A$100, MATCH(M168, Campaign!$E$2:$E$100, 0)),
  ""
)</f>
        <v/>
      </c>
      <c r="W164" t="str">
        <f t="shared" si="13"/>
        <v>Before</v>
      </c>
      <c r="X164" s="19"/>
    </row>
    <row r="165" spans="1:24">
      <c r="A165" s="4" t="s">
        <v>219</v>
      </c>
      <c r="B165" s="4" t="s">
        <v>26</v>
      </c>
      <c r="C165" s="5">
        <v>45715</v>
      </c>
      <c r="D165" s="4" t="s">
        <v>20</v>
      </c>
      <c r="E165" s="4" t="s">
        <v>74</v>
      </c>
      <c r="F165" s="6">
        <v>4934</v>
      </c>
      <c r="G165" s="6">
        <v>971</v>
      </c>
      <c r="H165" s="6">
        <v>156</v>
      </c>
      <c r="I165" s="6">
        <v>39472</v>
      </c>
      <c r="J165" s="6">
        <f t="shared" si="10"/>
        <v>6230</v>
      </c>
      <c r="K165" s="6">
        <v>39025</v>
      </c>
      <c r="L165" s="6">
        <v>169</v>
      </c>
      <c r="M165" s="16" t="s">
        <v>22</v>
      </c>
      <c r="N165" s="17" t="s">
        <v>17</v>
      </c>
      <c r="O165" s="17"/>
      <c r="P165" s="4" t="s">
        <v>34</v>
      </c>
      <c r="Q165">
        <f>IFERROR(
  INDEX(Campaign!$C$2:$C$100, MATCH(M165, Campaign!$E$2:$E$100, 0)),
  0
)</f>
        <v>0</v>
      </c>
      <c r="R165" s="25">
        <f>IFERROR(
  INDEX(Campaign!$C$2:$C$100, MATCH(N165, Campaign!$E$2:$E$100, 0)),
  0
)</f>
        <v>200000</v>
      </c>
      <c r="S165">
        <f>IFERROR(
  INDEX(Campaign!$C$2:$C$100, MATCH(O165, Campaign!$E$2:$E$100, 0)),
  0
)</f>
        <v>0</v>
      </c>
      <c r="T165">
        <f t="shared" si="11"/>
        <v>3.1150000000000001E-2</v>
      </c>
      <c r="U165">
        <f t="shared" si="12"/>
        <v>0.15355188488042157</v>
      </c>
      <c r="V165" s="40">
        <f>IFERROR(
  INDEX(Campaign!$A$2:$A$100, MATCH(M169, Campaign!$E$2:$E$100, 0)),
  ""
)</f>
        <v>45488</v>
      </c>
      <c r="W165" t="str">
        <f t="shared" si="13"/>
        <v>Before</v>
      </c>
      <c r="X165" s="19"/>
    </row>
    <row r="166" spans="1:24">
      <c r="A166" s="4" t="s">
        <v>220</v>
      </c>
      <c r="B166" s="4" t="s">
        <v>13</v>
      </c>
      <c r="C166" s="5">
        <v>45637</v>
      </c>
      <c r="D166" s="4" t="s">
        <v>20</v>
      </c>
      <c r="E166" s="4" t="s">
        <v>21</v>
      </c>
      <c r="F166" s="6">
        <v>3239</v>
      </c>
      <c r="G166" s="6">
        <v>43</v>
      </c>
      <c r="H166" s="6">
        <v>211</v>
      </c>
      <c r="I166" s="6">
        <v>22673</v>
      </c>
      <c r="J166" s="6">
        <f t="shared" si="10"/>
        <v>3723</v>
      </c>
      <c r="K166" s="6">
        <v>22171</v>
      </c>
      <c r="L166" s="6">
        <v>230</v>
      </c>
      <c r="M166" s="16" t="s">
        <v>22</v>
      </c>
      <c r="N166" s="17"/>
      <c r="O166" s="17"/>
      <c r="P166" s="4" t="s">
        <v>24</v>
      </c>
      <c r="Q166">
        <f>IFERROR(
  INDEX(Campaign!$C$2:$C$100, MATCH(M166, Campaign!$E$2:$E$100, 0)),
  0
)</f>
        <v>0</v>
      </c>
      <c r="R166" s="25">
        <f>IFERROR(
  INDEX(Campaign!$C$2:$C$100, MATCH(N166, Campaign!$E$2:$E$100, 0)),
  0
)</f>
        <v>0</v>
      </c>
      <c r="S166">
        <f>IFERROR(
  INDEX(Campaign!$C$2:$C$100, MATCH(O166, Campaign!$E$2:$E$100, 0)),
  0
)</f>
        <v>0</v>
      </c>
      <c r="T166" t="str">
        <f t="shared" si="11"/>
        <v/>
      </c>
      <c r="U166">
        <f t="shared" si="12"/>
        <v>0.15405989502933004</v>
      </c>
      <c r="V166" s="40">
        <f>IFERROR(
  INDEX(Campaign!$A$2:$A$100, MATCH(M170, Campaign!$E$2:$E$100, 0)),
  ""
)</f>
        <v>45488</v>
      </c>
      <c r="W166" t="str">
        <f t="shared" si="13"/>
        <v>Before</v>
      </c>
      <c r="X166" s="19"/>
    </row>
    <row r="167" spans="1:24">
      <c r="A167" s="4" t="s">
        <v>221</v>
      </c>
      <c r="B167" s="4" t="s">
        <v>13</v>
      </c>
      <c r="C167" s="5">
        <v>45704</v>
      </c>
      <c r="D167" s="4" t="s">
        <v>14</v>
      </c>
      <c r="E167" s="4" t="s">
        <v>15</v>
      </c>
      <c r="F167" s="6">
        <v>1076</v>
      </c>
      <c r="G167" s="6">
        <v>313</v>
      </c>
      <c r="H167" s="6">
        <v>306</v>
      </c>
      <c r="I167" s="6">
        <v>11836</v>
      </c>
      <c r="J167" s="6">
        <f t="shared" si="10"/>
        <v>1799</v>
      </c>
      <c r="K167" s="6">
        <v>11596</v>
      </c>
      <c r="L167" s="6">
        <v>104</v>
      </c>
      <c r="M167" s="16" t="s">
        <v>16</v>
      </c>
      <c r="N167" s="17"/>
      <c r="O167" s="17"/>
      <c r="P167" s="4" t="s">
        <v>18</v>
      </c>
      <c r="Q167">
        <f>IFERROR(
  INDEX(Campaign!$C$2:$C$100, MATCH(M167, Campaign!$E$2:$E$100, 0)),
  0
)</f>
        <v>0</v>
      </c>
      <c r="R167" s="25">
        <f>IFERROR(
  INDEX(Campaign!$C$2:$C$100, MATCH(N167, Campaign!$E$2:$E$100, 0)),
  0
)</f>
        <v>0</v>
      </c>
      <c r="S167">
        <f>IFERROR(
  INDEX(Campaign!$C$2:$C$100, MATCH(O167, Campaign!$E$2:$E$100, 0)),
  0
)</f>
        <v>0</v>
      </c>
      <c r="T167" t="str">
        <f t="shared" si="11"/>
        <v/>
      </c>
      <c r="U167">
        <f t="shared" si="12"/>
        <v>0.14320716458262928</v>
      </c>
      <c r="V167" s="40" t="str">
        <f>IFERROR(
  INDEX(Campaign!$A$2:$A$100, MATCH(M171, Campaign!$E$2:$E$100, 0)),
  ""
)</f>
        <v/>
      </c>
      <c r="W167" t="str">
        <f t="shared" si="13"/>
        <v>Before</v>
      </c>
      <c r="X167" s="19"/>
    </row>
    <row r="168" spans="1:24">
      <c r="A168" s="4" t="s">
        <v>222</v>
      </c>
      <c r="B168" s="4" t="s">
        <v>30</v>
      </c>
      <c r="C168" s="5">
        <v>45624</v>
      </c>
      <c r="D168" s="4" t="s">
        <v>20</v>
      </c>
      <c r="E168" s="4" t="s">
        <v>79</v>
      </c>
      <c r="F168" s="6">
        <v>4771</v>
      </c>
      <c r="G168" s="6">
        <v>818</v>
      </c>
      <c r="H168" s="6">
        <v>56</v>
      </c>
      <c r="I168" s="6">
        <v>57252</v>
      </c>
      <c r="J168" s="6">
        <f t="shared" si="10"/>
        <v>5795</v>
      </c>
      <c r="K168" s="6">
        <v>56378</v>
      </c>
      <c r="L168" s="6">
        <v>150</v>
      </c>
      <c r="M168" s="16" t="s">
        <v>16</v>
      </c>
      <c r="N168" s="17"/>
      <c r="O168" s="17"/>
      <c r="P168" s="7"/>
      <c r="Q168">
        <f>IFERROR(
  INDEX(Campaign!$C$2:$C$100, MATCH(M168, Campaign!$E$2:$E$100, 0)),
  0
)</f>
        <v>0</v>
      </c>
      <c r="R168" s="25">
        <f>IFERROR(
  INDEX(Campaign!$C$2:$C$100, MATCH(N168, Campaign!$E$2:$E$100, 0)),
  0
)</f>
        <v>0</v>
      </c>
      <c r="S168">
        <f>IFERROR(
  INDEX(Campaign!$C$2:$C$100, MATCH(O168, Campaign!$E$2:$E$100, 0)),
  0
)</f>
        <v>0</v>
      </c>
      <c r="T168" t="str">
        <f t="shared" si="11"/>
        <v/>
      </c>
      <c r="U168">
        <f t="shared" si="12"/>
        <v>9.859917557465242E-2</v>
      </c>
      <c r="V168" s="40" t="str">
        <f>IFERROR(
  INDEX(Campaign!$A$2:$A$100, MATCH(M172, Campaign!$E$2:$E$100, 0)),
  ""
)</f>
        <v/>
      </c>
      <c r="W168" t="str">
        <f t="shared" si="13"/>
        <v>Before</v>
      </c>
      <c r="X168" s="19"/>
    </row>
    <row r="169" spans="1:24">
      <c r="A169" s="4" t="s">
        <v>223</v>
      </c>
      <c r="B169" s="4" t="s">
        <v>37</v>
      </c>
      <c r="C169" s="5">
        <v>45608</v>
      </c>
      <c r="D169" s="4" t="s">
        <v>20</v>
      </c>
      <c r="E169" s="4" t="s">
        <v>46</v>
      </c>
      <c r="F169" s="6">
        <v>2418</v>
      </c>
      <c r="G169" s="6">
        <v>754</v>
      </c>
      <c r="H169" s="6">
        <v>54</v>
      </c>
      <c r="I169" s="6">
        <v>43524</v>
      </c>
      <c r="J169" s="6">
        <f t="shared" si="10"/>
        <v>3408</v>
      </c>
      <c r="K169" s="6">
        <v>42743</v>
      </c>
      <c r="L169" s="6">
        <v>182</v>
      </c>
      <c r="M169" s="16" t="s">
        <v>33</v>
      </c>
      <c r="N169" s="17"/>
      <c r="O169" s="17"/>
      <c r="P169" s="4" t="s">
        <v>18</v>
      </c>
      <c r="Q169">
        <f>IFERROR(
  INDEX(Campaign!$C$2:$C$100, MATCH(M169, Campaign!$E$2:$E$100, 0)),
  0
)</f>
        <v>150000</v>
      </c>
      <c r="R169" s="25">
        <f>IFERROR(
  INDEX(Campaign!$C$2:$C$100, MATCH(N169, Campaign!$E$2:$E$100, 0)),
  0
)</f>
        <v>0</v>
      </c>
      <c r="S169">
        <f>IFERROR(
  INDEX(Campaign!$C$2:$C$100, MATCH(O169, Campaign!$E$2:$E$100, 0)),
  0
)</f>
        <v>0</v>
      </c>
      <c r="T169">
        <f t="shared" si="11"/>
        <v>2.2720000000000001E-2</v>
      </c>
      <c r="U169">
        <f t="shared" si="12"/>
        <v>7.412002573292896E-2</v>
      </c>
      <c r="V169" s="40">
        <f>IFERROR(
  INDEX(Campaign!$A$2:$A$100, MATCH(M173, Campaign!$E$2:$E$100, 0)),
  ""
)</f>
        <v>45488</v>
      </c>
      <c r="W169" t="str">
        <f t="shared" si="13"/>
        <v>Before</v>
      </c>
      <c r="X169" s="19"/>
    </row>
    <row r="170" spans="1:24">
      <c r="A170" s="4" t="s">
        <v>224</v>
      </c>
      <c r="B170" s="4" t="s">
        <v>26</v>
      </c>
      <c r="C170" s="5">
        <v>45629</v>
      </c>
      <c r="D170" s="4" t="s">
        <v>57</v>
      </c>
      <c r="E170" s="4" t="s">
        <v>137</v>
      </c>
      <c r="F170" s="6">
        <v>3809</v>
      </c>
      <c r="G170" s="6">
        <v>273</v>
      </c>
      <c r="H170" s="6">
        <v>200</v>
      </c>
      <c r="I170" s="6">
        <v>34281</v>
      </c>
      <c r="J170" s="6">
        <f t="shared" si="10"/>
        <v>4365</v>
      </c>
      <c r="K170" s="6">
        <v>33534</v>
      </c>
      <c r="L170" s="6">
        <v>83</v>
      </c>
      <c r="M170" s="16" t="s">
        <v>33</v>
      </c>
      <c r="N170" s="17"/>
      <c r="O170" s="17"/>
      <c r="P170" s="4" t="s">
        <v>18</v>
      </c>
      <c r="Q170">
        <f>IFERROR(
  INDEX(Campaign!$C$2:$C$100, MATCH(M170, Campaign!$E$2:$E$100, 0)),
  0
)</f>
        <v>150000</v>
      </c>
      <c r="R170" s="25">
        <f>IFERROR(
  INDEX(Campaign!$C$2:$C$100, MATCH(N170, Campaign!$E$2:$E$100, 0)),
  0
)</f>
        <v>0</v>
      </c>
      <c r="S170">
        <f>IFERROR(
  INDEX(Campaign!$C$2:$C$100, MATCH(O170, Campaign!$E$2:$E$100, 0)),
  0
)</f>
        <v>0</v>
      </c>
      <c r="T170">
        <f t="shared" si="11"/>
        <v>2.9100000000000001E-2</v>
      </c>
      <c r="U170">
        <f t="shared" si="12"/>
        <v>0.12490884163239112</v>
      </c>
      <c r="V170" s="40" t="str">
        <f>IFERROR(
  INDEX(Campaign!$A$2:$A$100, MATCH(M174, Campaign!$E$2:$E$100, 0)),
  ""
)</f>
        <v/>
      </c>
      <c r="W170" t="str">
        <f t="shared" si="13"/>
        <v>Before</v>
      </c>
      <c r="X170" s="19"/>
    </row>
    <row r="171" spans="1:24">
      <c r="A171" s="4" t="s">
        <v>225</v>
      </c>
      <c r="B171" s="4" t="s">
        <v>13</v>
      </c>
      <c r="C171" s="5">
        <v>45775</v>
      </c>
      <c r="D171" s="4" t="s">
        <v>20</v>
      </c>
      <c r="E171" s="4" t="s">
        <v>21</v>
      </c>
      <c r="F171" s="6">
        <v>3577</v>
      </c>
      <c r="G171" s="6">
        <v>596</v>
      </c>
      <c r="H171" s="6">
        <v>493</v>
      </c>
      <c r="I171" s="6">
        <v>67963</v>
      </c>
      <c r="J171" s="6">
        <f t="shared" si="10"/>
        <v>4719</v>
      </c>
      <c r="K171" s="6">
        <v>67839</v>
      </c>
      <c r="L171" s="6">
        <v>53</v>
      </c>
      <c r="M171" s="16" t="s">
        <v>22</v>
      </c>
      <c r="N171" s="17"/>
      <c r="O171" s="17"/>
      <c r="P171" s="4" t="s">
        <v>28</v>
      </c>
      <c r="Q171">
        <f>IFERROR(
  INDEX(Campaign!$C$2:$C$100, MATCH(M171, Campaign!$E$2:$E$100, 0)),
  0
)</f>
        <v>0</v>
      </c>
      <c r="R171" s="25">
        <f>IFERROR(
  INDEX(Campaign!$C$2:$C$100, MATCH(N171, Campaign!$E$2:$E$100, 0)),
  0
)</f>
        <v>0</v>
      </c>
      <c r="S171">
        <f>IFERROR(
  INDEX(Campaign!$C$2:$C$100, MATCH(O171, Campaign!$E$2:$E$100, 0)),
  0
)</f>
        <v>0</v>
      </c>
      <c r="T171" t="str">
        <f t="shared" si="11"/>
        <v/>
      </c>
      <c r="U171">
        <f t="shared" si="12"/>
        <v>6.8655003457763777E-2</v>
      </c>
      <c r="V171" s="40">
        <f>IFERROR(
  INDEX(Campaign!$A$2:$A$100, MATCH(M175, Campaign!$E$2:$E$100, 0)),
  ""
)</f>
        <v>45488</v>
      </c>
      <c r="W171" t="str">
        <f t="shared" si="13"/>
        <v>Before</v>
      </c>
      <c r="X171" s="19"/>
    </row>
    <row r="172" spans="1:24">
      <c r="A172" s="4" t="s">
        <v>226</v>
      </c>
      <c r="B172" s="4" t="s">
        <v>26</v>
      </c>
      <c r="C172" s="5">
        <v>45657</v>
      </c>
      <c r="D172" s="4" t="s">
        <v>57</v>
      </c>
      <c r="E172" s="4" t="s">
        <v>137</v>
      </c>
      <c r="F172" s="6">
        <v>1018</v>
      </c>
      <c r="G172" s="6">
        <v>447</v>
      </c>
      <c r="H172" s="6">
        <v>332</v>
      </c>
      <c r="I172" s="6">
        <v>18324</v>
      </c>
      <c r="J172" s="6">
        <f t="shared" si="10"/>
        <v>1835</v>
      </c>
      <c r="K172" s="6">
        <v>18164</v>
      </c>
      <c r="L172" s="6">
        <v>38</v>
      </c>
      <c r="M172" s="16" t="s">
        <v>16</v>
      </c>
      <c r="N172" s="17"/>
      <c r="O172" s="17"/>
      <c r="P172" s="4" t="s">
        <v>24</v>
      </c>
      <c r="Q172">
        <f>IFERROR(
  INDEX(Campaign!$C$2:$C$100, MATCH(M172, Campaign!$E$2:$E$100, 0)),
  0
)</f>
        <v>0</v>
      </c>
      <c r="R172" s="25">
        <f>IFERROR(
  INDEX(Campaign!$C$2:$C$100, MATCH(N172, Campaign!$E$2:$E$100, 0)),
  0
)</f>
        <v>0</v>
      </c>
      <c r="S172">
        <f>IFERROR(
  INDEX(Campaign!$C$2:$C$100, MATCH(O172, Campaign!$E$2:$E$100, 0)),
  0
)</f>
        <v>0</v>
      </c>
      <c r="T172" t="str">
        <f t="shared" si="11"/>
        <v/>
      </c>
      <c r="U172">
        <f t="shared" si="12"/>
        <v>9.8068107400130972E-2</v>
      </c>
      <c r="V172" s="40" t="str">
        <f>IFERROR(
  INDEX(Campaign!$A$2:$A$100, MATCH(M176, Campaign!$E$2:$E$100, 0)),
  ""
)</f>
        <v/>
      </c>
      <c r="W172" t="str">
        <f t="shared" si="13"/>
        <v>Before</v>
      </c>
      <c r="X172" s="19"/>
    </row>
    <row r="173" spans="1:24">
      <c r="A173" s="4" t="s">
        <v>227</v>
      </c>
      <c r="B173" s="4" t="s">
        <v>37</v>
      </c>
      <c r="C173" s="5">
        <v>45518</v>
      </c>
      <c r="D173" s="4" t="s">
        <v>38</v>
      </c>
      <c r="E173" s="4" t="s">
        <v>39</v>
      </c>
      <c r="F173" s="6">
        <v>3073</v>
      </c>
      <c r="G173" s="6">
        <v>553</v>
      </c>
      <c r="H173" s="6">
        <v>174</v>
      </c>
      <c r="I173" s="6">
        <v>52241</v>
      </c>
      <c r="J173" s="6">
        <f t="shared" si="10"/>
        <v>4046</v>
      </c>
      <c r="K173" s="6">
        <v>51605</v>
      </c>
      <c r="L173" s="6">
        <v>246</v>
      </c>
      <c r="M173" s="16" t="s">
        <v>33</v>
      </c>
      <c r="N173" s="17"/>
      <c r="O173" s="17"/>
      <c r="P173" s="4" t="s">
        <v>28</v>
      </c>
      <c r="Q173">
        <f>IFERROR(
  INDEX(Campaign!$C$2:$C$100, MATCH(M173, Campaign!$E$2:$E$100, 0)),
  0
)</f>
        <v>150000</v>
      </c>
      <c r="R173" s="25">
        <f>IFERROR(
  INDEX(Campaign!$C$2:$C$100, MATCH(N173, Campaign!$E$2:$E$100, 0)),
  0
)</f>
        <v>0</v>
      </c>
      <c r="S173">
        <f>IFERROR(
  INDEX(Campaign!$C$2:$C$100, MATCH(O173, Campaign!$E$2:$E$100, 0)),
  0
)</f>
        <v>0</v>
      </c>
      <c r="T173">
        <f t="shared" si="11"/>
        <v>2.6973333333333332E-2</v>
      </c>
      <c r="U173">
        <f t="shared" si="12"/>
        <v>7.2739802071170159E-2</v>
      </c>
      <c r="V173" s="40" t="str">
        <f>IFERROR(
  INDEX(Campaign!$A$2:$A$100, MATCH(M177, Campaign!$E$2:$E$100, 0)),
  ""
)</f>
        <v/>
      </c>
      <c r="W173" t="str">
        <f t="shared" si="13"/>
        <v>Before</v>
      </c>
      <c r="X173" s="19"/>
    </row>
    <row r="174" spans="1:24">
      <c r="A174" s="4" t="s">
        <v>228</v>
      </c>
      <c r="B174" s="4" t="s">
        <v>13</v>
      </c>
      <c r="C174" s="5">
        <v>45631</v>
      </c>
      <c r="D174" s="4" t="s">
        <v>57</v>
      </c>
      <c r="E174" s="4" t="s">
        <v>96</v>
      </c>
      <c r="F174" s="6">
        <v>1330</v>
      </c>
      <c r="G174" s="6">
        <v>925</v>
      </c>
      <c r="H174" s="6">
        <v>35</v>
      </c>
      <c r="I174" s="6">
        <v>15960</v>
      </c>
      <c r="J174" s="6">
        <f t="shared" si="10"/>
        <v>2519</v>
      </c>
      <c r="K174" s="6">
        <v>15379</v>
      </c>
      <c r="L174" s="6">
        <v>229</v>
      </c>
      <c r="M174" s="16" t="s">
        <v>16</v>
      </c>
      <c r="N174" s="17"/>
      <c r="O174" s="17"/>
      <c r="P174" s="4" t="s">
        <v>28</v>
      </c>
      <c r="Q174">
        <f>IFERROR(
  INDEX(Campaign!$C$2:$C$100, MATCH(M174, Campaign!$E$2:$E$100, 0)),
  0
)</f>
        <v>0</v>
      </c>
      <c r="R174" s="25">
        <f>IFERROR(
  INDEX(Campaign!$C$2:$C$100, MATCH(N174, Campaign!$E$2:$E$100, 0)),
  0
)</f>
        <v>0</v>
      </c>
      <c r="S174">
        <f>IFERROR(
  INDEX(Campaign!$C$2:$C$100, MATCH(O174, Campaign!$E$2:$E$100, 0)),
  0
)</f>
        <v>0</v>
      </c>
      <c r="T174" t="str">
        <f t="shared" si="11"/>
        <v/>
      </c>
      <c r="U174">
        <f t="shared" si="12"/>
        <v>0.14348370927318296</v>
      </c>
      <c r="V174" s="40" t="str">
        <f>IFERROR(
  INDEX(Campaign!$A$2:$A$100, MATCH(M178, Campaign!$E$2:$E$100, 0)),
  ""
)</f>
        <v/>
      </c>
      <c r="W174" t="str">
        <f t="shared" si="13"/>
        <v>Before</v>
      </c>
      <c r="X174" s="19"/>
    </row>
    <row r="175" spans="1:24">
      <c r="A175" s="4" t="s">
        <v>229</v>
      </c>
      <c r="B175" s="4" t="s">
        <v>37</v>
      </c>
      <c r="C175" s="5">
        <v>45465</v>
      </c>
      <c r="D175" s="4" t="s">
        <v>20</v>
      </c>
      <c r="E175" s="4" t="s">
        <v>46</v>
      </c>
      <c r="F175" s="6">
        <v>3828</v>
      </c>
      <c r="G175" s="6">
        <v>148</v>
      </c>
      <c r="H175" s="6">
        <v>253</v>
      </c>
      <c r="I175" s="6">
        <v>30624</v>
      </c>
      <c r="J175" s="6">
        <f t="shared" si="10"/>
        <v>4464</v>
      </c>
      <c r="K175" s="6">
        <v>30229</v>
      </c>
      <c r="L175" s="6">
        <v>235</v>
      </c>
      <c r="M175" s="16" t="s">
        <v>33</v>
      </c>
      <c r="N175" s="17"/>
      <c r="O175" s="17"/>
      <c r="P175" s="7"/>
      <c r="Q175">
        <f>IFERROR(
  INDEX(Campaign!$C$2:$C$100, MATCH(M175, Campaign!$E$2:$E$100, 0)),
  0
)</f>
        <v>150000</v>
      </c>
      <c r="R175" s="25">
        <f>IFERROR(
  INDEX(Campaign!$C$2:$C$100, MATCH(N175, Campaign!$E$2:$E$100, 0)),
  0
)</f>
        <v>0</v>
      </c>
      <c r="S175">
        <f>IFERROR(
  INDEX(Campaign!$C$2:$C$100, MATCH(O175, Campaign!$E$2:$E$100, 0)),
  0
)</f>
        <v>0</v>
      </c>
      <c r="T175">
        <f t="shared" si="11"/>
        <v>2.9760000000000002E-2</v>
      </c>
      <c r="U175">
        <f t="shared" si="12"/>
        <v>0.13809430512016718</v>
      </c>
      <c r="V175" s="40" t="str">
        <f>IFERROR(
  INDEX(Campaign!$A$2:$A$100, MATCH(M179, Campaign!$E$2:$E$100, 0)),
  ""
)</f>
        <v/>
      </c>
      <c r="W175" t="str">
        <f t="shared" si="13"/>
        <v>Before</v>
      </c>
      <c r="X175" s="19"/>
    </row>
    <row r="176" spans="1:24">
      <c r="A176" s="4" t="s">
        <v>230</v>
      </c>
      <c r="B176" s="4" t="s">
        <v>30</v>
      </c>
      <c r="C176" s="5">
        <v>45674</v>
      </c>
      <c r="D176" s="4" t="s">
        <v>14</v>
      </c>
      <c r="E176" s="4" t="s">
        <v>62</v>
      </c>
      <c r="F176" s="6">
        <v>142</v>
      </c>
      <c r="G176" s="6">
        <v>784</v>
      </c>
      <c r="H176" s="6">
        <v>183</v>
      </c>
      <c r="I176" s="6">
        <v>1704</v>
      </c>
      <c r="J176" s="6">
        <f t="shared" si="10"/>
        <v>1263</v>
      </c>
      <c r="K176" s="6">
        <v>995</v>
      </c>
      <c r="L176" s="6">
        <v>154</v>
      </c>
      <c r="M176" s="16" t="s">
        <v>16</v>
      </c>
      <c r="N176" s="17"/>
      <c r="O176" s="17"/>
      <c r="P176" s="4" t="s">
        <v>34</v>
      </c>
      <c r="Q176">
        <f>IFERROR(
  INDEX(Campaign!$C$2:$C$100, MATCH(M176, Campaign!$E$2:$E$100, 0)),
  0
)</f>
        <v>0</v>
      </c>
      <c r="R176" s="25">
        <f>IFERROR(
  INDEX(Campaign!$C$2:$C$100, MATCH(N176, Campaign!$E$2:$E$100, 0)),
  0
)</f>
        <v>0</v>
      </c>
      <c r="S176">
        <f>IFERROR(
  INDEX(Campaign!$C$2:$C$100, MATCH(O176, Campaign!$E$2:$E$100, 0)),
  0
)</f>
        <v>0</v>
      </c>
      <c r="T176" t="str">
        <f t="shared" si="11"/>
        <v/>
      </c>
      <c r="U176">
        <f t="shared" si="12"/>
        <v>0.6508215962441315</v>
      </c>
      <c r="V176" s="40" t="str">
        <f>IFERROR(
  INDEX(Campaign!$A$2:$A$100, MATCH(M180, Campaign!$E$2:$E$100, 0)),
  ""
)</f>
        <v/>
      </c>
      <c r="W176" t="str">
        <f t="shared" si="13"/>
        <v>Before</v>
      </c>
      <c r="X176" s="19"/>
    </row>
    <row r="177" spans="1:24">
      <c r="A177" s="4" t="s">
        <v>231</v>
      </c>
      <c r="B177" s="4" t="s">
        <v>37</v>
      </c>
      <c r="C177" s="5">
        <v>45463</v>
      </c>
      <c r="D177" s="4" t="s">
        <v>57</v>
      </c>
      <c r="E177" s="4" t="s">
        <v>58</v>
      </c>
      <c r="F177" s="6">
        <v>3798</v>
      </c>
      <c r="G177" s="6">
        <v>31</v>
      </c>
      <c r="H177" s="6">
        <v>279</v>
      </c>
      <c r="I177" s="6">
        <v>75960</v>
      </c>
      <c r="J177" s="6">
        <f t="shared" si="10"/>
        <v>4374</v>
      </c>
      <c r="K177" s="6">
        <v>75813</v>
      </c>
      <c r="L177" s="6">
        <v>266</v>
      </c>
      <c r="M177" s="16" t="s">
        <v>22</v>
      </c>
      <c r="N177" s="17"/>
      <c r="O177" s="17"/>
      <c r="P177" s="4" t="s">
        <v>18</v>
      </c>
      <c r="Q177">
        <f>IFERROR(
  INDEX(Campaign!$C$2:$C$100, MATCH(M177, Campaign!$E$2:$E$100, 0)),
  0
)</f>
        <v>0</v>
      </c>
      <c r="R177" s="25">
        <f>IFERROR(
  INDEX(Campaign!$C$2:$C$100, MATCH(N177, Campaign!$E$2:$E$100, 0)),
  0
)</f>
        <v>0</v>
      </c>
      <c r="S177">
        <f>IFERROR(
  INDEX(Campaign!$C$2:$C$100, MATCH(O177, Campaign!$E$2:$E$100, 0)),
  0
)</f>
        <v>0</v>
      </c>
      <c r="T177" t="str">
        <f t="shared" si="11"/>
        <v/>
      </c>
      <c r="U177">
        <f t="shared" si="12"/>
        <v>5.4081095313322801E-2</v>
      </c>
      <c r="V177" s="40" t="str">
        <f>IFERROR(
  INDEX(Campaign!$A$2:$A$100, MATCH(M181, Campaign!$E$2:$E$100, 0)),
  ""
)</f>
        <v/>
      </c>
      <c r="W177" t="str">
        <f t="shared" si="13"/>
        <v>Before</v>
      </c>
      <c r="X177" s="19"/>
    </row>
    <row r="178" spans="1:24">
      <c r="A178" s="4" t="s">
        <v>232</v>
      </c>
      <c r="B178" s="4" t="s">
        <v>30</v>
      </c>
      <c r="C178" s="5">
        <v>45483</v>
      </c>
      <c r="D178" s="4" t="s">
        <v>38</v>
      </c>
      <c r="E178" s="4" t="s">
        <v>66</v>
      </c>
      <c r="F178" s="6">
        <v>3099</v>
      </c>
      <c r="G178" s="6">
        <v>694</v>
      </c>
      <c r="H178" s="6">
        <v>171</v>
      </c>
      <c r="I178" s="6">
        <v>43386</v>
      </c>
      <c r="J178" s="6">
        <f t="shared" si="10"/>
        <v>4016</v>
      </c>
      <c r="K178" s="6">
        <v>42921</v>
      </c>
      <c r="L178" s="6">
        <v>52</v>
      </c>
      <c r="M178" s="16" t="s">
        <v>22</v>
      </c>
      <c r="N178" s="17"/>
      <c r="O178" s="17"/>
      <c r="P178" s="4" t="s">
        <v>28</v>
      </c>
      <c r="Q178">
        <f>IFERROR(
  INDEX(Campaign!$C$2:$C$100, MATCH(M178, Campaign!$E$2:$E$100, 0)),
  0
)</f>
        <v>0</v>
      </c>
      <c r="R178" s="25">
        <f>IFERROR(
  INDEX(Campaign!$C$2:$C$100, MATCH(N178, Campaign!$E$2:$E$100, 0)),
  0
)</f>
        <v>0</v>
      </c>
      <c r="S178">
        <f>IFERROR(
  INDEX(Campaign!$C$2:$C$100, MATCH(O178, Campaign!$E$2:$E$100, 0)),
  0
)</f>
        <v>0</v>
      </c>
      <c r="T178" t="str">
        <f t="shared" si="11"/>
        <v/>
      </c>
      <c r="U178">
        <f t="shared" si="12"/>
        <v>9.1365878393951966E-2</v>
      </c>
      <c r="V178" s="40">
        <f>IFERROR(
  INDEX(Campaign!$A$2:$A$100, MATCH(M182, Campaign!$E$2:$E$100, 0)),
  ""
)</f>
        <v>45488</v>
      </c>
      <c r="W178" t="str">
        <f t="shared" si="13"/>
        <v>Before</v>
      </c>
      <c r="X178" s="19"/>
    </row>
    <row r="179" spans="1:24">
      <c r="A179" s="4" t="s">
        <v>233</v>
      </c>
      <c r="B179" s="4" t="s">
        <v>30</v>
      </c>
      <c r="C179" s="5">
        <v>45603</v>
      </c>
      <c r="D179" s="4" t="s">
        <v>57</v>
      </c>
      <c r="E179" s="4" t="s">
        <v>64</v>
      </c>
      <c r="F179" s="6">
        <v>129</v>
      </c>
      <c r="G179" s="6">
        <v>643</v>
      </c>
      <c r="H179" s="6">
        <v>136</v>
      </c>
      <c r="I179" s="6">
        <v>1290</v>
      </c>
      <c r="J179" s="6">
        <f t="shared" si="10"/>
        <v>1146</v>
      </c>
      <c r="K179" s="6">
        <v>839</v>
      </c>
      <c r="L179" s="6">
        <v>238</v>
      </c>
      <c r="M179" s="16" t="s">
        <v>22</v>
      </c>
      <c r="N179" s="17"/>
      <c r="O179" s="17"/>
      <c r="P179" s="4" t="s">
        <v>34</v>
      </c>
      <c r="Q179">
        <f>IFERROR(
  INDEX(Campaign!$C$2:$C$100, MATCH(M179, Campaign!$E$2:$E$100, 0)),
  0
)</f>
        <v>0</v>
      </c>
      <c r="R179" s="25">
        <f>IFERROR(
  INDEX(Campaign!$C$2:$C$100, MATCH(N179, Campaign!$E$2:$E$100, 0)),
  0
)</f>
        <v>0</v>
      </c>
      <c r="S179">
        <f>IFERROR(
  INDEX(Campaign!$C$2:$C$100, MATCH(O179, Campaign!$E$2:$E$100, 0)),
  0
)</f>
        <v>0</v>
      </c>
      <c r="T179" t="str">
        <f t="shared" si="11"/>
        <v/>
      </c>
      <c r="U179">
        <f t="shared" si="12"/>
        <v>0.70387596899224802</v>
      </c>
      <c r="V179" s="40" t="str">
        <f>IFERROR(
  INDEX(Campaign!$A$2:$A$100, MATCH(M183, Campaign!$E$2:$E$100, 0)),
  ""
)</f>
        <v/>
      </c>
      <c r="W179" t="str">
        <f t="shared" si="13"/>
        <v>Before</v>
      </c>
      <c r="X179" s="19"/>
    </row>
    <row r="180" spans="1:24">
      <c r="A180" s="4" t="s">
        <v>234</v>
      </c>
      <c r="B180" s="4" t="s">
        <v>37</v>
      </c>
      <c r="C180" s="5">
        <v>45488</v>
      </c>
      <c r="D180" s="4" t="s">
        <v>38</v>
      </c>
      <c r="E180" s="4" t="s">
        <v>39</v>
      </c>
      <c r="F180" s="6">
        <v>3796</v>
      </c>
      <c r="G180" s="6">
        <v>667</v>
      </c>
      <c r="H180" s="6">
        <v>395</v>
      </c>
      <c r="I180" s="6">
        <v>64532</v>
      </c>
      <c r="J180" s="6">
        <f t="shared" si="10"/>
        <v>5150</v>
      </c>
      <c r="K180" s="6">
        <v>63550</v>
      </c>
      <c r="L180" s="6">
        <v>292</v>
      </c>
      <c r="M180" s="16" t="s">
        <v>22</v>
      </c>
      <c r="N180" s="17"/>
      <c r="O180" s="17"/>
      <c r="P180" s="7"/>
      <c r="Q180">
        <f>IFERROR(
  INDEX(Campaign!$C$2:$C$100, MATCH(M180, Campaign!$E$2:$E$100, 0)),
  0
)</f>
        <v>0</v>
      </c>
      <c r="R180" s="25">
        <f>IFERROR(
  INDEX(Campaign!$C$2:$C$100, MATCH(N180, Campaign!$E$2:$E$100, 0)),
  0
)</f>
        <v>0</v>
      </c>
      <c r="S180">
        <f>IFERROR(
  INDEX(Campaign!$C$2:$C$100, MATCH(O180, Campaign!$E$2:$E$100, 0)),
  0
)</f>
        <v>0</v>
      </c>
      <c r="T180" t="str">
        <f t="shared" si="11"/>
        <v/>
      </c>
      <c r="U180">
        <f t="shared" si="12"/>
        <v>7.5280481001673588E-2</v>
      </c>
      <c r="V180" s="40" t="str">
        <f>IFERROR(
  INDEX(Campaign!$A$2:$A$100, MATCH(M184, Campaign!$E$2:$E$100, 0)),
  ""
)</f>
        <v/>
      </c>
      <c r="W180" t="str">
        <f t="shared" si="13"/>
        <v>Before</v>
      </c>
      <c r="X180" s="19"/>
    </row>
    <row r="181" spans="1:24">
      <c r="A181" s="4" t="s">
        <v>235</v>
      </c>
      <c r="B181" s="4" t="s">
        <v>26</v>
      </c>
      <c r="C181" s="5">
        <v>45629</v>
      </c>
      <c r="D181" s="4" t="s">
        <v>20</v>
      </c>
      <c r="E181" s="4" t="s">
        <v>74</v>
      </c>
      <c r="F181" s="6">
        <v>3711</v>
      </c>
      <c r="G181" s="6">
        <v>352</v>
      </c>
      <c r="H181" s="6">
        <v>290</v>
      </c>
      <c r="I181" s="6">
        <v>48243</v>
      </c>
      <c r="J181" s="6">
        <f t="shared" si="10"/>
        <v>4364</v>
      </c>
      <c r="K181" s="6">
        <v>47579</v>
      </c>
      <c r="L181" s="6">
        <v>11</v>
      </c>
      <c r="M181" s="16" t="s">
        <v>22</v>
      </c>
      <c r="N181" s="17"/>
      <c r="O181" s="17"/>
      <c r="P181" s="4" t="s">
        <v>18</v>
      </c>
      <c r="Q181">
        <f>IFERROR(
  INDEX(Campaign!$C$2:$C$100, MATCH(M181, Campaign!$E$2:$E$100, 0)),
  0
)</f>
        <v>0</v>
      </c>
      <c r="R181" s="25">
        <f>IFERROR(
  INDEX(Campaign!$C$2:$C$100, MATCH(N181, Campaign!$E$2:$E$100, 0)),
  0
)</f>
        <v>0</v>
      </c>
      <c r="S181">
        <f>IFERROR(
  INDEX(Campaign!$C$2:$C$100, MATCH(O181, Campaign!$E$2:$E$100, 0)),
  0
)</f>
        <v>0</v>
      </c>
      <c r="T181" t="str">
        <f t="shared" si="11"/>
        <v/>
      </c>
      <c r="U181">
        <f t="shared" si="12"/>
        <v>9.023070704558174E-2</v>
      </c>
      <c r="V181" s="40">
        <f>IFERROR(
  INDEX(Campaign!$A$2:$A$100, MATCH(M185, Campaign!$E$2:$E$100, 0)),
  ""
)</f>
        <v>45488</v>
      </c>
      <c r="W181" t="str">
        <f t="shared" si="13"/>
        <v>Before</v>
      </c>
      <c r="X181" s="19"/>
    </row>
    <row r="182" spans="1:24">
      <c r="A182" s="4" t="s">
        <v>236</v>
      </c>
      <c r="B182" s="4" t="s">
        <v>26</v>
      </c>
      <c r="C182" s="5">
        <v>45737</v>
      </c>
      <c r="D182" s="4" t="s">
        <v>43</v>
      </c>
      <c r="E182" s="4" t="s">
        <v>44</v>
      </c>
      <c r="F182" s="6">
        <v>606</v>
      </c>
      <c r="G182" s="6">
        <v>789</v>
      </c>
      <c r="H182" s="6">
        <v>470</v>
      </c>
      <c r="I182" s="6">
        <v>7878</v>
      </c>
      <c r="J182" s="6">
        <f t="shared" si="10"/>
        <v>2104</v>
      </c>
      <c r="K182" s="6">
        <v>7389</v>
      </c>
      <c r="L182" s="6">
        <v>239</v>
      </c>
      <c r="M182" s="16" t="s">
        <v>33</v>
      </c>
      <c r="N182" s="17"/>
      <c r="O182" s="17"/>
      <c r="P182" s="4" t="s">
        <v>28</v>
      </c>
      <c r="Q182">
        <f>IFERROR(
  INDEX(Campaign!$C$2:$C$100, MATCH(M182, Campaign!$E$2:$E$100, 0)),
  0
)</f>
        <v>150000</v>
      </c>
      <c r="R182" s="25">
        <f>IFERROR(
  INDEX(Campaign!$C$2:$C$100, MATCH(N182, Campaign!$E$2:$E$100, 0)),
  0
)</f>
        <v>0</v>
      </c>
      <c r="S182">
        <f>IFERROR(
  INDEX(Campaign!$C$2:$C$100, MATCH(O182, Campaign!$E$2:$E$100, 0)),
  0
)</f>
        <v>0</v>
      </c>
      <c r="T182">
        <f t="shared" si="11"/>
        <v>1.4026666666666666E-2</v>
      </c>
      <c r="U182">
        <f t="shared" si="12"/>
        <v>0.23673521198273673</v>
      </c>
      <c r="V182" s="40">
        <f>IFERROR(
  INDEX(Campaign!$A$2:$A$100, MATCH(M186, Campaign!$E$2:$E$100, 0)),
  ""
)</f>
        <v>45488</v>
      </c>
      <c r="W182" t="str">
        <f t="shared" si="13"/>
        <v>Before</v>
      </c>
      <c r="X182" s="19"/>
    </row>
    <row r="183" spans="1:24">
      <c r="A183" s="4" t="s">
        <v>237</v>
      </c>
      <c r="B183" s="4" t="s">
        <v>37</v>
      </c>
      <c r="C183" s="5">
        <v>45504</v>
      </c>
      <c r="D183" s="4" t="s">
        <v>43</v>
      </c>
      <c r="E183" s="4" t="s">
        <v>48</v>
      </c>
      <c r="F183" s="6">
        <v>4689</v>
      </c>
      <c r="G183" s="6">
        <v>134</v>
      </c>
      <c r="H183" s="6">
        <v>403</v>
      </c>
      <c r="I183" s="6">
        <v>51579</v>
      </c>
      <c r="J183" s="6">
        <f t="shared" si="10"/>
        <v>5399</v>
      </c>
      <c r="K183" s="6">
        <v>50924</v>
      </c>
      <c r="L183" s="6">
        <v>173</v>
      </c>
      <c r="M183" s="16" t="s">
        <v>22</v>
      </c>
      <c r="N183" s="17"/>
      <c r="O183" s="17"/>
      <c r="P183" s="4" t="s">
        <v>34</v>
      </c>
      <c r="Q183">
        <f>IFERROR(
  INDEX(Campaign!$C$2:$C$100, MATCH(M183, Campaign!$E$2:$E$100, 0)),
  0
)</f>
        <v>0</v>
      </c>
      <c r="R183" s="25">
        <f>IFERROR(
  INDEX(Campaign!$C$2:$C$100, MATCH(N183, Campaign!$E$2:$E$100, 0)),
  0
)</f>
        <v>0</v>
      </c>
      <c r="S183">
        <f>IFERROR(
  INDEX(Campaign!$C$2:$C$100, MATCH(O183, Campaign!$E$2:$E$100, 0)),
  0
)</f>
        <v>0</v>
      </c>
      <c r="T183" t="str">
        <f t="shared" si="11"/>
        <v/>
      </c>
      <c r="U183">
        <f t="shared" si="12"/>
        <v>0.10132030477519921</v>
      </c>
      <c r="V183" s="40">
        <f>IFERROR(
  INDEX(Campaign!$A$2:$A$100, MATCH(M187, Campaign!$E$2:$E$100, 0)),
  ""
)</f>
        <v>45488</v>
      </c>
      <c r="W183" t="str">
        <f t="shared" si="13"/>
        <v>Before</v>
      </c>
      <c r="X183" s="19"/>
    </row>
    <row r="184" spans="1:24">
      <c r="A184" s="4" t="s">
        <v>238</v>
      </c>
      <c r="B184" s="4" t="s">
        <v>30</v>
      </c>
      <c r="C184" s="5">
        <v>45643</v>
      </c>
      <c r="D184" s="4" t="s">
        <v>31</v>
      </c>
      <c r="E184" s="4" t="s">
        <v>32</v>
      </c>
      <c r="F184" s="6">
        <v>360</v>
      </c>
      <c r="G184" s="6">
        <v>590</v>
      </c>
      <c r="H184" s="6">
        <v>393</v>
      </c>
      <c r="I184" s="6">
        <v>4680</v>
      </c>
      <c r="J184" s="6">
        <f t="shared" si="10"/>
        <v>1551</v>
      </c>
      <c r="K184" s="6">
        <v>4322</v>
      </c>
      <c r="L184" s="6">
        <v>208</v>
      </c>
      <c r="M184" s="16" t="s">
        <v>16</v>
      </c>
      <c r="N184" s="17"/>
      <c r="O184" s="17"/>
      <c r="P184" s="4" t="s">
        <v>24</v>
      </c>
      <c r="Q184">
        <f>IFERROR(
  INDEX(Campaign!$C$2:$C$100, MATCH(M184, Campaign!$E$2:$E$100, 0)),
  0
)</f>
        <v>0</v>
      </c>
      <c r="R184" s="25">
        <f>IFERROR(
  INDEX(Campaign!$C$2:$C$100, MATCH(N184, Campaign!$E$2:$E$100, 0)),
  0
)</f>
        <v>0</v>
      </c>
      <c r="S184">
        <f>IFERROR(
  INDEX(Campaign!$C$2:$C$100, MATCH(O184, Campaign!$E$2:$E$100, 0)),
  0
)</f>
        <v>0</v>
      </c>
      <c r="T184" t="str">
        <f t="shared" si="11"/>
        <v/>
      </c>
      <c r="U184">
        <f t="shared" si="12"/>
        <v>0.28696581196581195</v>
      </c>
      <c r="V184" s="40">
        <f>IFERROR(
  INDEX(Campaign!$A$2:$A$100, MATCH(M188, Campaign!$E$2:$E$100, 0)),
  ""
)</f>
        <v>45488</v>
      </c>
      <c r="W184" t="str">
        <f t="shared" si="13"/>
        <v>Before</v>
      </c>
      <c r="X184" s="19"/>
    </row>
    <row r="185" spans="1:24">
      <c r="A185" s="4" t="s">
        <v>239</v>
      </c>
      <c r="B185" s="4" t="s">
        <v>13</v>
      </c>
      <c r="C185" s="5">
        <v>45501</v>
      </c>
      <c r="D185" s="4" t="s">
        <v>43</v>
      </c>
      <c r="E185" s="4" t="s">
        <v>89</v>
      </c>
      <c r="F185" s="6">
        <v>3215</v>
      </c>
      <c r="G185" s="6">
        <v>960</v>
      </c>
      <c r="H185" s="6">
        <v>202</v>
      </c>
      <c r="I185" s="6">
        <v>32150</v>
      </c>
      <c r="J185" s="6">
        <f t="shared" si="10"/>
        <v>4628</v>
      </c>
      <c r="K185" s="6">
        <v>31404</v>
      </c>
      <c r="L185" s="6">
        <v>251</v>
      </c>
      <c r="M185" s="16" t="s">
        <v>33</v>
      </c>
      <c r="N185" s="17"/>
      <c r="O185" s="17"/>
      <c r="P185" s="4" t="s">
        <v>18</v>
      </c>
      <c r="Q185">
        <f>IFERROR(
  INDEX(Campaign!$C$2:$C$100, MATCH(M185, Campaign!$E$2:$E$100, 0)),
  0
)</f>
        <v>150000</v>
      </c>
      <c r="R185" s="25">
        <f>IFERROR(
  INDEX(Campaign!$C$2:$C$100, MATCH(N185, Campaign!$E$2:$E$100, 0)),
  0
)</f>
        <v>0</v>
      </c>
      <c r="S185">
        <f>IFERROR(
  INDEX(Campaign!$C$2:$C$100, MATCH(O185, Campaign!$E$2:$E$100, 0)),
  0
)</f>
        <v>0</v>
      </c>
      <c r="T185">
        <f t="shared" si="11"/>
        <v>3.0853333333333333E-2</v>
      </c>
      <c r="U185">
        <f t="shared" si="12"/>
        <v>0.13614307931570763</v>
      </c>
      <c r="V185" s="40" t="str">
        <f>IFERROR(
  INDEX(Campaign!$A$2:$A$100, MATCH(M189, Campaign!$E$2:$E$100, 0)),
  ""
)</f>
        <v/>
      </c>
      <c r="W185" t="str">
        <f t="shared" si="13"/>
        <v>Before</v>
      </c>
      <c r="X185" s="19"/>
    </row>
    <row r="186" spans="1:24">
      <c r="A186" s="4" t="s">
        <v>240</v>
      </c>
      <c r="B186" s="4" t="s">
        <v>30</v>
      </c>
      <c r="C186" s="5">
        <v>45668</v>
      </c>
      <c r="D186" s="4" t="s">
        <v>38</v>
      </c>
      <c r="E186" s="4" t="s">
        <v>66</v>
      </c>
      <c r="F186" s="6">
        <v>4523</v>
      </c>
      <c r="G186" s="6">
        <v>61</v>
      </c>
      <c r="H186" s="6">
        <v>157</v>
      </c>
      <c r="I186" s="6">
        <v>49753</v>
      </c>
      <c r="J186" s="6">
        <f t="shared" si="10"/>
        <v>4812</v>
      </c>
      <c r="K186" s="6">
        <v>49329</v>
      </c>
      <c r="L186" s="6">
        <v>71</v>
      </c>
      <c r="M186" s="16" t="s">
        <v>33</v>
      </c>
      <c r="N186" s="17"/>
      <c r="O186" s="17"/>
      <c r="P186" s="7"/>
      <c r="Q186">
        <f>IFERROR(
  INDEX(Campaign!$C$2:$C$100, MATCH(M186, Campaign!$E$2:$E$100, 0)),
  0
)</f>
        <v>150000</v>
      </c>
      <c r="R186" s="25">
        <f>IFERROR(
  INDEX(Campaign!$C$2:$C$100, MATCH(N186, Campaign!$E$2:$E$100, 0)),
  0
)</f>
        <v>0</v>
      </c>
      <c r="S186">
        <f>IFERROR(
  INDEX(Campaign!$C$2:$C$100, MATCH(O186, Campaign!$E$2:$E$100, 0)),
  0
)</f>
        <v>0</v>
      </c>
      <c r="T186">
        <f t="shared" si="11"/>
        <v>3.2079999999999997E-2</v>
      </c>
      <c r="U186">
        <f t="shared" si="12"/>
        <v>9.5290736237010829E-2</v>
      </c>
      <c r="V186" s="40" t="str">
        <f>IFERROR(
  INDEX(Campaign!$A$2:$A$100, MATCH(M190, Campaign!$E$2:$E$100, 0)),
  ""
)</f>
        <v/>
      </c>
      <c r="W186" t="str">
        <f t="shared" si="13"/>
        <v>Before</v>
      </c>
      <c r="X186" s="19"/>
    </row>
    <row r="187" spans="1:24">
      <c r="A187" s="4" t="s">
        <v>241</v>
      </c>
      <c r="B187" s="4" t="s">
        <v>37</v>
      </c>
      <c r="C187" s="5">
        <v>45528</v>
      </c>
      <c r="D187" s="4" t="s">
        <v>38</v>
      </c>
      <c r="E187" s="4" t="s">
        <v>39</v>
      </c>
      <c r="F187" s="6">
        <v>4292</v>
      </c>
      <c r="G187" s="6">
        <v>51</v>
      </c>
      <c r="H187" s="6">
        <v>392</v>
      </c>
      <c r="I187" s="6">
        <v>55796</v>
      </c>
      <c r="J187" s="6">
        <f t="shared" si="10"/>
        <v>4999</v>
      </c>
      <c r="K187" s="6">
        <v>54826</v>
      </c>
      <c r="L187" s="6">
        <v>264</v>
      </c>
      <c r="M187" s="16" t="s">
        <v>33</v>
      </c>
      <c r="N187" s="17"/>
      <c r="O187" s="17"/>
      <c r="P187" s="4" t="s">
        <v>28</v>
      </c>
      <c r="Q187">
        <f>IFERROR(
  INDEX(Campaign!$C$2:$C$100, MATCH(M187, Campaign!$E$2:$E$100, 0)),
  0
)</f>
        <v>150000</v>
      </c>
      <c r="R187" s="25">
        <f>IFERROR(
  INDEX(Campaign!$C$2:$C$100, MATCH(N187, Campaign!$E$2:$E$100, 0)),
  0
)</f>
        <v>0</v>
      </c>
      <c r="S187">
        <f>IFERROR(
  INDEX(Campaign!$C$2:$C$100, MATCH(O187, Campaign!$E$2:$E$100, 0)),
  0
)</f>
        <v>0</v>
      </c>
      <c r="T187">
        <f t="shared" si="11"/>
        <v>3.3326666666666664E-2</v>
      </c>
      <c r="U187">
        <f t="shared" si="12"/>
        <v>8.4862714173059003E-2</v>
      </c>
      <c r="V187" s="40" t="str">
        <f>IFERROR(
  INDEX(Campaign!$A$2:$A$100, MATCH(M191, Campaign!$E$2:$E$100, 0)),
  ""
)</f>
        <v/>
      </c>
      <c r="W187" t="str">
        <f t="shared" si="13"/>
        <v>Before</v>
      </c>
      <c r="X187" s="19"/>
    </row>
    <row r="188" spans="1:24">
      <c r="A188" s="4" t="s">
        <v>242</v>
      </c>
      <c r="B188" s="4" t="s">
        <v>13</v>
      </c>
      <c r="C188" s="5">
        <v>45648</v>
      </c>
      <c r="D188" s="4" t="s">
        <v>14</v>
      </c>
      <c r="E188" s="4" t="s">
        <v>15</v>
      </c>
      <c r="F188" s="6">
        <v>1644</v>
      </c>
      <c r="G188" s="6">
        <v>546</v>
      </c>
      <c r="H188" s="6">
        <v>150</v>
      </c>
      <c r="I188" s="6">
        <v>27948</v>
      </c>
      <c r="J188" s="6">
        <f t="shared" si="10"/>
        <v>2640</v>
      </c>
      <c r="K188" s="6">
        <v>27184</v>
      </c>
      <c r="L188" s="6">
        <v>300</v>
      </c>
      <c r="M188" s="16" t="s">
        <v>33</v>
      </c>
      <c r="N188" s="17"/>
      <c r="O188" s="17"/>
      <c r="P188" s="4" t="s">
        <v>28</v>
      </c>
      <c r="Q188">
        <f>IFERROR(
  INDEX(Campaign!$C$2:$C$100, MATCH(M188, Campaign!$E$2:$E$100, 0)),
  0
)</f>
        <v>150000</v>
      </c>
      <c r="R188" s="25">
        <f>IFERROR(
  INDEX(Campaign!$C$2:$C$100, MATCH(N188, Campaign!$E$2:$E$100, 0)),
  0
)</f>
        <v>0</v>
      </c>
      <c r="S188">
        <f>IFERROR(
  INDEX(Campaign!$C$2:$C$100, MATCH(O188, Campaign!$E$2:$E$100, 0)),
  0
)</f>
        <v>0</v>
      </c>
      <c r="T188">
        <f t="shared" si="11"/>
        <v>1.7600000000000001E-2</v>
      </c>
      <c r="U188">
        <f t="shared" si="12"/>
        <v>8.3726921425504502E-2</v>
      </c>
      <c r="V188" s="40" t="str">
        <f>IFERROR(
  INDEX(Campaign!$A$2:$A$100, MATCH(M192, Campaign!$E$2:$E$100, 0)),
  ""
)</f>
        <v/>
      </c>
      <c r="W188" t="str">
        <f t="shared" si="13"/>
        <v>Before</v>
      </c>
      <c r="X188" s="19"/>
    </row>
    <row r="189" spans="1:24">
      <c r="A189" s="4" t="s">
        <v>243</v>
      </c>
      <c r="B189" s="4" t="s">
        <v>26</v>
      </c>
      <c r="C189" s="5">
        <v>45449</v>
      </c>
      <c r="D189" s="4" t="s">
        <v>14</v>
      </c>
      <c r="E189" s="4" t="s">
        <v>27</v>
      </c>
      <c r="F189" s="6">
        <v>2728</v>
      </c>
      <c r="G189" s="6">
        <v>533</v>
      </c>
      <c r="H189" s="6">
        <v>215</v>
      </c>
      <c r="I189" s="6">
        <v>40920</v>
      </c>
      <c r="J189" s="6">
        <f t="shared" si="10"/>
        <v>3613</v>
      </c>
      <c r="K189" s="6">
        <v>40816</v>
      </c>
      <c r="L189" s="6">
        <v>137</v>
      </c>
      <c r="M189" s="16" t="s">
        <v>16</v>
      </c>
      <c r="N189" s="17"/>
      <c r="O189" s="17"/>
      <c r="P189" s="4" t="s">
        <v>24</v>
      </c>
      <c r="Q189">
        <f>IFERROR(
  INDEX(Campaign!$C$2:$C$100, MATCH(M189, Campaign!$E$2:$E$100, 0)),
  0
)</f>
        <v>0</v>
      </c>
      <c r="R189" s="25">
        <f>IFERROR(
  INDEX(Campaign!$C$2:$C$100, MATCH(N189, Campaign!$E$2:$E$100, 0)),
  0
)</f>
        <v>0</v>
      </c>
      <c r="S189">
        <f>IFERROR(
  INDEX(Campaign!$C$2:$C$100, MATCH(O189, Campaign!$E$2:$E$100, 0)),
  0
)</f>
        <v>0</v>
      </c>
      <c r="T189" t="str">
        <f t="shared" si="11"/>
        <v/>
      </c>
      <c r="U189">
        <f t="shared" si="12"/>
        <v>8.4946236559139784E-2</v>
      </c>
      <c r="V189" s="40">
        <f>IFERROR(
  INDEX(Campaign!$A$2:$A$100, MATCH(M193, Campaign!$E$2:$E$100, 0)),
  ""
)</f>
        <v>45488</v>
      </c>
      <c r="W189" t="str">
        <f t="shared" si="13"/>
        <v>Before</v>
      </c>
      <c r="X189" s="19"/>
    </row>
    <row r="190" spans="1:24">
      <c r="A190" s="4" t="s">
        <v>244</v>
      </c>
      <c r="B190" s="4" t="s">
        <v>37</v>
      </c>
      <c r="C190" s="5">
        <v>45740</v>
      </c>
      <c r="D190" s="4" t="s">
        <v>14</v>
      </c>
      <c r="E190" s="4" t="s">
        <v>51</v>
      </c>
      <c r="F190" s="6">
        <v>3360</v>
      </c>
      <c r="G190" s="6">
        <v>525</v>
      </c>
      <c r="H190" s="6">
        <v>500</v>
      </c>
      <c r="I190" s="6">
        <v>60480</v>
      </c>
      <c r="J190" s="6">
        <f t="shared" si="10"/>
        <v>4577</v>
      </c>
      <c r="K190" s="6">
        <v>59610</v>
      </c>
      <c r="L190" s="6">
        <v>192</v>
      </c>
      <c r="M190" s="16" t="s">
        <v>22</v>
      </c>
      <c r="N190" s="17"/>
      <c r="O190" s="17"/>
      <c r="P190" s="4" t="s">
        <v>18</v>
      </c>
      <c r="Q190">
        <f>IFERROR(
  INDEX(Campaign!$C$2:$C$100, MATCH(M190, Campaign!$E$2:$E$100, 0)),
  0
)</f>
        <v>0</v>
      </c>
      <c r="R190" s="25">
        <f>IFERROR(
  INDEX(Campaign!$C$2:$C$100, MATCH(N190, Campaign!$E$2:$E$100, 0)),
  0
)</f>
        <v>0</v>
      </c>
      <c r="S190">
        <f>IFERROR(
  INDEX(Campaign!$C$2:$C$100, MATCH(O190, Campaign!$E$2:$E$100, 0)),
  0
)</f>
        <v>0</v>
      </c>
      <c r="T190" t="str">
        <f t="shared" si="11"/>
        <v/>
      </c>
      <c r="U190">
        <f t="shared" si="12"/>
        <v>7.2503306878306875E-2</v>
      </c>
      <c r="V190" s="40">
        <f>IFERROR(
  INDEX(Campaign!$A$2:$A$100, MATCH(M194, Campaign!$E$2:$E$100, 0)),
  ""
)</f>
        <v>45488</v>
      </c>
      <c r="W190" t="str">
        <f t="shared" si="13"/>
        <v>Before</v>
      </c>
      <c r="X190" s="19"/>
    </row>
    <row r="191" spans="1:24">
      <c r="A191" s="4" t="s">
        <v>245</v>
      </c>
      <c r="B191" s="4" t="s">
        <v>26</v>
      </c>
      <c r="C191" s="5">
        <v>45569</v>
      </c>
      <c r="D191" s="4" t="s">
        <v>20</v>
      </c>
      <c r="E191" s="4" t="s">
        <v>74</v>
      </c>
      <c r="F191" s="6">
        <v>1963</v>
      </c>
      <c r="G191" s="6">
        <v>213</v>
      </c>
      <c r="H191" s="6">
        <v>19</v>
      </c>
      <c r="I191" s="6">
        <v>39260</v>
      </c>
      <c r="J191" s="6">
        <f t="shared" si="10"/>
        <v>2340</v>
      </c>
      <c r="K191" s="6">
        <v>38771</v>
      </c>
      <c r="L191" s="6">
        <v>145</v>
      </c>
      <c r="M191" s="16" t="s">
        <v>16</v>
      </c>
      <c r="N191" s="17"/>
      <c r="O191" s="17"/>
      <c r="P191" s="7"/>
      <c r="Q191">
        <f>IFERROR(
  INDEX(Campaign!$C$2:$C$100, MATCH(M191, Campaign!$E$2:$E$100, 0)),
  0
)</f>
        <v>0</v>
      </c>
      <c r="R191" s="25">
        <f>IFERROR(
  INDEX(Campaign!$C$2:$C$100, MATCH(N191, Campaign!$E$2:$E$100, 0)),
  0
)</f>
        <v>0</v>
      </c>
      <c r="S191">
        <f>IFERROR(
  INDEX(Campaign!$C$2:$C$100, MATCH(O191, Campaign!$E$2:$E$100, 0)),
  0
)</f>
        <v>0</v>
      </c>
      <c r="T191" t="str">
        <f t="shared" si="11"/>
        <v/>
      </c>
      <c r="U191">
        <f t="shared" si="12"/>
        <v>5.5909322465613857E-2</v>
      </c>
      <c r="V191" s="40">
        <f>IFERROR(
  INDEX(Campaign!$A$2:$A$100, MATCH(M195, Campaign!$E$2:$E$100, 0)),
  ""
)</f>
        <v>45488</v>
      </c>
      <c r="W191" t="str">
        <f t="shared" si="13"/>
        <v>Before</v>
      </c>
      <c r="X191" s="19"/>
    </row>
    <row r="192" spans="1:24">
      <c r="A192" s="4" t="s">
        <v>246</v>
      </c>
      <c r="B192" s="4" t="s">
        <v>26</v>
      </c>
      <c r="C192" s="5">
        <v>45629</v>
      </c>
      <c r="D192" s="4" t="s">
        <v>31</v>
      </c>
      <c r="E192" s="4" t="s">
        <v>102</v>
      </c>
      <c r="F192" s="6">
        <v>4285</v>
      </c>
      <c r="G192" s="6">
        <v>886</v>
      </c>
      <c r="H192" s="6">
        <v>376</v>
      </c>
      <c r="I192" s="6">
        <v>55705</v>
      </c>
      <c r="J192" s="6">
        <f t="shared" si="10"/>
        <v>5598</v>
      </c>
      <c r="K192" s="6">
        <v>55556</v>
      </c>
      <c r="L192" s="6">
        <v>51</v>
      </c>
      <c r="M192" s="16" t="s">
        <v>16</v>
      </c>
      <c r="N192" s="17"/>
      <c r="O192" s="17"/>
      <c r="P192" s="4" t="s">
        <v>28</v>
      </c>
      <c r="Q192">
        <f>IFERROR(
  INDEX(Campaign!$C$2:$C$100, MATCH(M192, Campaign!$E$2:$E$100, 0)),
  0
)</f>
        <v>0</v>
      </c>
      <c r="R192" s="25">
        <f>IFERROR(
  INDEX(Campaign!$C$2:$C$100, MATCH(N192, Campaign!$E$2:$E$100, 0)),
  0
)</f>
        <v>0</v>
      </c>
      <c r="S192">
        <f>IFERROR(
  INDEX(Campaign!$C$2:$C$100, MATCH(O192, Campaign!$E$2:$E$100, 0)),
  0
)</f>
        <v>0</v>
      </c>
      <c r="T192" t="str">
        <f t="shared" si="11"/>
        <v/>
      </c>
      <c r="U192">
        <f t="shared" si="12"/>
        <v>9.9578134817341346E-2</v>
      </c>
      <c r="V192" s="40" t="str">
        <f>IFERROR(
  INDEX(Campaign!$A$2:$A$100, MATCH(M196, Campaign!$E$2:$E$100, 0)),
  ""
)</f>
        <v/>
      </c>
      <c r="W192" t="str">
        <f t="shared" si="13"/>
        <v>Before</v>
      </c>
      <c r="X192" s="19"/>
    </row>
    <row r="193" spans="1:24">
      <c r="A193" s="4" t="s">
        <v>247</v>
      </c>
      <c r="B193" s="4" t="s">
        <v>30</v>
      </c>
      <c r="C193" s="5">
        <v>45625</v>
      </c>
      <c r="D193" s="4" t="s">
        <v>57</v>
      </c>
      <c r="E193" s="4" t="s">
        <v>64</v>
      </c>
      <c r="F193" s="6">
        <v>1176</v>
      </c>
      <c r="G193" s="6">
        <v>464</v>
      </c>
      <c r="H193" s="6">
        <v>394</v>
      </c>
      <c r="I193" s="6">
        <v>14112</v>
      </c>
      <c r="J193" s="6">
        <f t="shared" si="10"/>
        <v>2306</v>
      </c>
      <c r="K193" s="6">
        <v>13588</v>
      </c>
      <c r="L193" s="6">
        <v>272</v>
      </c>
      <c r="M193" s="16" t="s">
        <v>33</v>
      </c>
      <c r="N193" s="17"/>
      <c r="O193" s="17"/>
      <c r="P193" s="7"/>
      <c r="Q193">
        <f>IFERROR(
  INDEX(Campaign!$C$2:$C$100, MATCH(M193, Campaign!$E$2:$E$100, 0)),
  0
)</f>
        <v>150000</v>
      </c>
      <c r="R193" s="25">
        <f>IFERROR(
  INDEX(Campaign!$C$2:$C$100, MATCH(N193, Campaign!$E$2:$E$100, 0)),
  0
)</f>
        <v>0</v>
      </c>
      <c r="S193">
        <f>IFERROR(
  INDEX(Campaign!$C$2:$C$100, MATCH(O193, Campaign!$E$2:$E$100, 0)),
  0
)</f>
        <v>0</v>
      </c>
      <c r="T193">
        <f t="shared" si="11"/>
        <v>1.5373333333333333E-2</v>
      </c>
      <c r="U193">
        <f t="shared" si="12"/>
        <v>0.1441326530612245</v>
      </c>
      <c r="V193" s="40">
        <f>IFERROR(
  INDEX(Campaign!$A$2:$A$100, MATCH(M197, Campaign!$E$2:$E$100, 0)),
  ""
)</f>
        <v>45488</v>
      </c>
      <c r="W193" t="str">
        <f t="shared" si="13"/>
        <v>Before</v>
      </c>
      <c r="X193" s="19"/>
    </row>
    <row r="194" spans="1:24">
      <c r="A194" s="4" t="s">
        <v>248</v>
      </c>
      <c r="B194" s="4" t="s">
        <v>13</v>
      </c>
      <c r="C194" s="5">
        <v>45546</v>
      </c>
      <c r="D194" s="4" t="s">
        <v>43</v>
      </c>
      <c r="E194" s="4" t="s">
        <v>89</v>
      </c>
      <c r="F194" s="6">
        <v>4858</v>
      </c>
      <c r="G194" s="6">
        <v>317</v>
      </c>
      <c r="H194" s="6">
        <v>129</v>
      </c>
      <c r="I194" s="6">
        <v>53438</v>
      </c>
      <c r="J194" s="6">
        <f t="shared" si="10"/>
        <v>5527</v>
      </c>
      <c r="K194" s="6">
        <v>52687</v>
      </c>
      <c r="L194" s="6">
        <v>223</v>
      </c>
      <c r="M194" s="16" t="s">
        <v>33</v>
      </c>
      <c r="N194" s="17"/>
      <c r="O194" s="17"/>
      <c r="P194" s="4" t="s">
        <v>28</v>
      </c>
      <c r="Q194">
        <f>IFERROR(
  INDEX(Campaign!$C$2:$C$100, MATCH(M194, Campaign!$E$2:$E$100, 0)),
  0
)</f>
        <v>150000</v>
      </c>
      <c r="R194" s="25">
        <f>IFERROR(
  INDEX(Campaign!$C$2:$C$100, MATCH(N194, Campaign!$E$2:$E$100, 0)),
  0
)</f>
        <v>0</v>
      </c>
      <c r="S194">
        <f>IFERROR(
  INDEX(Campaign!$C$2:$C$100, MATCH(O194, Campaign!$E$2:$E$100, 0)),
  0
)</f>
        <v>0</v>
      </c>
      <c r="T194">
        <f t="shared" si="11"/>
        <v>3.6846666666666666E-2</v>
      </c>
      <c r="U194">
        <f t="shared" si="12"/>
        <v>9.9255211647142488E-2</v>
      </c>
      <c r="V194" s="40">
        <f>IFERROR(
  INDEX(Campaign!$A$2:$A$100, MATCH(M198, Campaign!$E$2:$E$100, 0)),
  ""
)</f>
        <v>45488</v>
      </c>
      <c r="W194" t="str">
        <f t="shared" si="13"/>
        <v>Before</v>
      </c>
      <c r="X194" s="19"/>
    </row>
    <row r="195" spans="1:24">
      <c r="A195" s="4" t="s">
        <v>249</v>
      </c>
      <c r="B195" s="4" t="s">
        <v>26</v>
      </c>
      <c r="C195" s="5">
        <v>45567</v>
      </c>
      <c r="D195" s="4" t="s">
        <v>31</v>
      </c>
      <c r="E195" s="4" t="s">
        <v>102</v>
      </c>
      <c r="F195" s="6">
        <v>4350</v>
      </c>
      <c r="G195" s="6">
        <v>771</v>
      </c>
      <c r="H195" s="6">
        <v>7</v>
      </c>
      <c r="I195" s="6">
        <v>60900</v>
      </c>
      <c r="J195" s="6">
        <f t="shared" ref="J195:J258" si="14">F195+G195+H195+L195</f>
        <v>5323</v>
      </c>
      <c r="K195" s="6">
        <v>60592</v>
      </c>
      <c r="L195" s="6">
        <v>195</v>
      </c>
      <c r="M195" s="16" t="s">
        <v>33</v>
      </c>
      <c r="N195" s="17"/>
      <c r="O195" s="17"/>
      <c r="P195" s="4" t="s">
        <v>18</v>
      </c>
      <c r="Q195">
        <f>IFERROR(
  INDEX(Campaign!$C$2:$C$100, MATCH(M195, Campaign!$E$2:$E$100, 0)),
  0
)</f>
        <v>150000</v>
      </c>
      <c r="R195" s="25">
        <f>IFERROR(
  INDEX(Campaign!$C$2:$C$100, MATCH(N195, Campaign!$E$2:$E$100, 0)),
  0
)</f>
        <v>0</v>
      </c>
      <c r="S195">
        <f>IFERROR(
  INDEX(Campaign!$C$2:$C$100, MATCH(O195, Campaign!$E$2:$E$100, 0)),
  0
)</f>
        <v>0</v>
      </c>
      <c r="T195">
        <f t="shared" ref="T195:T258" si="15">IF((Q195+R195+S195)=0, "", J195/(Q195+R195+S195))</f>
        <v>3.5486666666666666E-2</v>
      </c>
      <c r="U195">
        <f t="shared" ref="U195:U258" si="16">(F195+H195+G195)/I195</f>
        <v>8.4203612479474554E-2</v>
      </c>
      <c r="V195" s="40" t="str">
        <f>IFERROR(
  INDEX(Campaign!$A$2:$A$100, MATCH(M199, Campaign!$E$2:$E$100, 0)),
  ""
)</f>
        <v/>
      </c>
      <c r="W195" t="str">
        <f t="shared" ref="W195:W258" si="17">IF(TRIM(O195)="","Before", "During")</f>
        <v>Before</v>
      </c>
      <c r="X195" s="19"/>
    </row>
    <row r="196" spans="1:24">
      <c r="A196" s="4" t="s">
        <v>250</v>
      </c>
      <c r="B196" s="4" t="s">
        <v>30</v>
      </c>
      <c r="C196" s="5">
        <v>45519</v>
      </c>
      <c r="D196" s="4" t="s">
        <v>38</v>
      </c>
      <c r="E196" s="4" t="s">
        <v>66</v>
      </c>
      <c r="F196" s="6">
        <v>914</v>
      </c>
      <c r="G196" s="6">
        <v>464</v>
      </c>
      <c r="H196" s="6">
        <v>246</v>
      </c>
      <c r="I196" s="6">
        <v>11882</v>
      </c>
      <c r="J196" s="6">
        <f t="shared" si="14"/>
        <v>1906</v>
      </c>
      <c r="K196" s="6">
        <v>11500</v>
      </c>
      <c r="L196" s="6">
        <v>282</v>
      </c>
      <c r="M196" s="16" t="s">
        <v>16</v>
      </c>
      <c r="N196" s="17" t="s">
        <v>22</v>
      </c>
      <c r="O196" s="17" t="s">
        <v>17</v>
      </c>
      <c r="P196" s="4" t="s">
        <v>34</v>
      </c>
      <c r="Q196">
        <f>IFERROR(
  INDEX(Campaign!$C$2:$C$100, MATCH(M196, Campaign!$E$2:$E$100, 0)),
  0
)</f>
        <v>0</v>
      </c>
      <c r="R196" s="25">
        <f>IFERROR(
  INDEX(Campaign!$C$2:$C$100, MATCH(N196, Campaign!$E$2:$E$100, 0)),
  0
)</f>
        <v>0</v>
      </c>
      <c r="S196">
        <f>IFERROR(
  INDEX(Campaign!$C$2:$C$100, MATCH(O196, Campaign!$E$2:$E$100, 0)),
  0
)</f>
        <v>200000</v>
      </c>
      <c r="T196">
        <f t="shared" si="15"/>
        <v>9.5300000000000003E-3</v>
      </c>
      <c r="U196">
        <f t="shared" si="16"/>
        <v>0.13667732704931829</v>
      </c>
      <c r="V196" s="40" t="str">
        <f>IFERROR(
  INDEX(Campaign!$A$2:$A$100, MATCH(M200, Campaign!$E$2:$E$100, 0)),
  ""
)</f>
        <v/>
      </c>
      <c r="W196" t="str">
        <f t="shared" si="17"/>
        <v>During</v>
      </c>
      <c r="X196" s="19"/>
    </row>
    <row r="197" spans="1:24">
      <c r="A197" s="4" t="s">
        <v>251</v>
      </c>
      <c r="B197" s="4" t="s">
        <v>30</v>
      </c>
      <c r="C197" s="5">
        <v>45645</v>
      </c>
      <c r="D197" s="4" t="s">
        <v>20</v>
      </c>
      <c r="E197" s="4" t="s">
        <v>79</v>
      </c>
      <c r="F197" s="6">
        <v>1813</v>
      </c>
      <c r="G197" s="6">
        <v>623</v>
      </c>
      <c r="H197" s="6">
        <v>72</v>
      </c>
      <c r="I197" s="6">
        <v>19943</v>
      </c>
      <c r="J197" s="6">
        <f t="shared" si="14"/>
        <v>2593</v>
      </c>
      <c r="K197" s="6">
        <v>18959</v>
      </c>
      <c r="L197" s="6">
        <v>85</v>
      </c>
      <c r="M197" s="16" t="s">
        <v>33</v>
      </c>
      <c r="N197" s="17"/>
      <c r="O197" s="17"/>
      <c r="P197" s="4" t="s">
        <v>28</v>
      </c>
      <c r="Q197">
        <f>IFERROR(
  INDEX(Campaign!$C$2:$C$100, MATCH(M197, Campaign!$E$2:$E$100, 0)),
  0
)</f>
        <v>150000</v>
      </c>
      <c r="R197" s="25">
        <f>IFERROR(
  INDEX(Campaign!$C$2:$C$100, MATCH(N197, Campaign!$E$2:$E$100, 0)),
  0
)</f>
        <v>0</v>
      </c>
      <c r="S197">
        <f>IFERROR(
  INDEX(Campaign!$C$2:$C$100, MATCH(O197, Campaign!$E$2:$E$100, 0)),
  0
)</f>
        <v>0</v>
      </c>
      <c r="T197">
        <f t="shared" si="15"/>
        <v>1.7286666666666665E-2</v>
      </c>
      <c r="U197">
        <f t="shared" si="16"/>
        <v>0.12575841147269717</v>
      </c>
      <c r="V197" s="40" t="str">
        <f>IFERROR(
  INDEX(Campaign!$A$2:$A$100, MATCH(M201, Campaign!$E$2:$E$100, 0)),
  ""
)</f>
        <v/>
      </c>
      <c r="W197" t="str">
        <f t="shared" si="17"/>
        <v>Before</v>
      </c>
      <c r="X197" s="19"/>
    </row>
    <row r="198" spans="1:24">
      <c r="A198" s="4" t="s">
        <v>252</v>
      </c>
      <c r="B198" s="4" t="s">
        <v>13</v>
      </c>
      <c r="C198" s="5">
        <v>45587</v>
      </c>
      <c r="D198" s="4" t="s">
        <v>14</v>
      </c>
      <c r="E198" s="4" t="s">
        <v>15</v>
      </c>
      <c r="F198" s="6">
        <v>4782</v>
      </c>
      <c r="G198" s="6">
        <v>721</v>
      </c>
      <c r="H198" s="6">
        <v>82</v>
      </c>
      <c r="I198" s="6">
        <v>86076</v>
      </c>
      <c r="J198" s="6">
        <f t="shared" si="14"/>
        <v>5604</v>
      </c>
      <c r="K198" s="6">
        <v>85339</v>
      </c>
      <c r="L198" s="6">
        <v>19</v>
      </c>
      <c r="M198" s="16" t="s">
        <v>33</v>
      </c>
      <c r="N198" s="17"/>
      <c r="O198" s="17"/>
      <c r="P198" s="4" t="s">
        <v>18</v>
      </c>
      <c r="Q198">
        <f>IFERROR(
  INDEX(Campaign!$C$2:$C$100, MATCH(M198, Campaign!$E$2:$E$100, 0)),
  0
)</f>
        <v>150000</v>
      </c>
      <c r="R198" s="25">
        <f>IFERROR(
  INDEX(Campaign!$C$2:$C$100, MATCH(N198, Campaign!$E$2:$E$100, 0)),
  0
)</f>
        <v>0</v>
      </c>
      <c r="S198">
        <f>IFERROR(
  INDEX(Campaign!$C$2:$C$100, MATCH(O198, Campaign!$E$2:$E$100, 0)),
  0
)</f>
        <v>0</v>
      </c>
      <c r="T198">
        <f t="shared" si="15"/>
        <v>3.7359999999999997E-2</v>
      </c>
      <c r="U198">
        <f t="shared" si="16"/>
        <v>6.4884520656164318E-2</v>
      </c>
      <c r="V198" s="40">
        <f>IFERROR(
  INDEX(Campaign!$A$2:$A$100, MATCH(M202, Campaign!$E$2:$E$100, 0)),
  ""
)</f>
        <v>45488</v>
      </c>
      <c r="W198" t="str">
        <f t="shared" si="17"/>
        <v>Before</v>
      </c>
      <c r="X198" s="19"/>
    </row>
    <row r="199" spans="1:24">
      <c r="A199" s="4" t="s">
        <v>253</v>
      </c>
      <c r="B199" s="4" t="s">
        <v>13</v>
      </c>
      <c r="C199" s="5">
        <v>45549</v>
      </c>
      <c r="D199" s="4" t="s">
        <v>43</v>
      </c>
      <c r="E199" s="4" t="s">
        <v>89</v>
      </c>
      <c r="F199" s="6">
        <v>1048</v>
      </c>
      <c r="G199" s="6">
        <v>374</v>
      </c>
      <c r="H199" s="6">
        <v>450</v>
      </c>
      <c r="I199" s="6">
        <v>9432</v>
      </c>
      <c r="J199" s="6">
        <f t="shared" si="14"/>
        <v>2030</v>
      </c>
      <c r="K199" s="6">
        <v>8882</v>
      </c>
      <c r="L199" s="6">
        <v>158</v>
      </c>
      <c r="M199" s="16" t="s">
        <v>22</v>
      </c>
      <c r="N199" s="17"/>
      <c r="O199" s="17"/>
      <c r="P199" s="4" t="s">
        <v>28</v>
      </c>
      <c r="Q199">
        <f>IFERROR(
  INDEX(Campaign!$C$2:$C$100, MATCH(M199, Campaign!$E$2:$E$100, 0)),
  0
)</f>
        <v>0</v>
      </c>
      <c r="R199" s="25">
        <f>IFERROR(
  INDEX(Campaign!$C$2:$C$100, MATCH(N199, Campaign!$E$2:$E$100, 0)),
  0
)</f>
        <v>0</v>
      </c>
      <c r="S199">
        <f>IFERROR(
  INDEX(Campaign!$C$2:$C$100, MATCH(O199, Campaign!$E$2:$E$100, 0)),
  0
)</f>
        <v>0</v>
      </c>
      <c r="T199" t="str">
        <f t="shared" si="15"/>
        <v/>
      </c>
      <c r="U199">
        <f t="shared" si="16"/>
        <v>0.19847328244274809</v>
      </c>
      <c r="V199" s="40">
        <f>IFERROR(
  INDEX(Campaign!$A$2:$A$100, MATCH(M203, Campaign!$E$2:$E$100, 0)),
  ""
)</f>
        <v>45488</v>
      </c>
      <c r="W199" t="str">
        <f t="shared" si="17"/>
        <v>Before</v>
      </c>
      <c r="X199" s="19"/>
    </row>
    <row r="200" spans="1:24">
      <c r="A200" s="4" t="s">
        <v>254</v>
      </c>
      <c r="B200" s="4" t="s">
        <v>26</v>
      </c>
      <c r="C200" s="5">
        <v>45626</v>
      </c>
      <c r="D200" s="4" t="s">
        <v>38</v>
      </c>
      <c r="E200" s="4" t="s">
        <v>53</v>
      </c>
      <c r="F200" s="6">
        <v>2509</v>
      </c>
      <c r="G200" s="6">
        <v>324</v>
      </c>
      <c r="H200" s="6">
        <v>171</v>
      </c>
      <c r="I200" s="6">
        <v>35126</v>
      </c>
      <c r="J200" s="6">
        <f t="shared" si="14"/>
        <v>3281</v>
      </c>
      <c r="K200" s="6">
        <v>34685</v>
      </c>
      <c r="L200" s="6">
        <v>277</v>
      </c>
      <c r="M200" s="16" t="s">
        <v>22</v>
      </c>
      <c r="N200" s="17"/>
      <c r="O200" s="17"/>
      <c r="P200" s="4" t="s">
        <v>24</v>
      </c>
      <c r="Q200">
        <f>IFERROR(
  INDEX(Campaign!$C$2:$C$100, MATCH(M200, Campaign!$E$2:$E$100, 0)),
  0
)</f>
        <v>0</v>
      </c>
      <c r="R200" s="25">
        <f>IFERROR(
  INDEX(Campaign!$C$2:$C$100, MATCH(N200, Campaign!$E$2:$E$100, 0)),
  0
)</f>
        <v>0</v>
      </c>
      <c r="S200">
        <f>IFERROR(
  INDEX(Campaign!$C$2:$C$100, MATCH(O200, Campaign!$E$2:$E$100, 0)),
  0
)</f>
        <v>0</v>
      </c>
      <c r="T200" t="str">
        <f t="shared" si="15"/>
        <v/>
      </c>
      <c r="U200">
        <f t="shared" si="16"/>
        <v>8.5520696919660646E-2</v>
      </c>
      <c r="V200" s="40" t="str">
        <f>IFERROR(
  INDEX(Campaign!$A$2:$A$100, MATCH(M204, Campaign!$E$2:$E$100, 0)),
  ""
)</f>
        <v/>
      </c>
      <c r="W200" t="str">
        <f t="shared" si="17"/>
        <v>Before</v>
      </c>
      <c r="X200" s="19"/>
    </row>
    <row r="201" spans="1:24">
      <c r="A201" s="4" t="s">
        <v>255</v>
      </c>
      <c r="B201" s="4" t="s">
        <v>37</v>
      </c>
      <c r="C201" s="5">
        <v>45754</v>
      </c>
      <c r="D201" s="4" t="s">
        <v>14</v>
      </c>
      <c r="E201" s="4" t="s">
        <v>51</v>
      </c>
      <c r="F201" s="6">
        <v>3718</v>
      </c>
      <c r="G201" s="6">
        <v>385</v>
      </c>
      <c r="H201" s="6">
        <v>310</v>
      </c>
      <c r="I201" s="6">
        <v>70642</v>
      </c>
      <c r="J201" s="6">
        <f t="shared" si="14"/>
        <v>4646</v>
      </c>
      <c r="K201" s="6">
        <v>69749</v>
      </c>
      <c r="L201" s="6">
        <v>233</v>
      </c>
      <c r="M201" s="16" t="s">
        <v>22</v>
      </c>
      <c r="N201" s="17"/>
      <c r="O201" s="17"/>
      <c r="P201" s="4" t="s">
        <v>24</v>
      </c>
      <c r="Q201">
        <f>IFERROR(
  INDEX(Campaign!$C$2:$C$100, MATCH(M201, Campaign!$E$2:$E$100, 0)),
  0
)</f>
        <v>0</v>
      </c>
      <c r="R201" s="25">
        <f>IFERROR(
  INDEX(Campaign!$C$2:$C$100, MATCH(N201, Campaign!$E$2:$E$100, 0)),
  0
)</f>
        <v>0</v>
      </c>
      <c r="S201">
        <f>IFERROR(
  INDEX(Campaign!$C$2:$C$100, MATCH(O201, Campaign!$E$2:$E$100, 0)),
  0
)</f>
        <v>0</v>
      </c>
      <c r="T201" t="str">
        <f t="shared" si="15"/>
        <v/>
      </c>
      <c r="U201">
        <f t="shared" si="16"/>
        <v>6.246991874522239E-2</v>
      </c>
      <c r="V201" s="40" t="str">
        <f>IFERROR(
  INDEX(Campaign!$A$2:$A$100, MATCH(M205, Campaign!$E$2:$E$100, 0)),
  ""
)</f>
        <v/>
      </c>
      <c r="W201" t="str">
        <f t="shared" si="17"/>
        <v>Before</v>
      </c>
      <c r="X201" s="19"/>
    </row>
    <row r="202" spans="1:24">
      <c r="A202" s="4" t="s">
        <v>256</v>
      </c>
      <c r="B202" s="4" t="s">
        <v>13</v>
      </c>
      <c r="C202" s="5">
        <v>45672</v>
      </c>
      <c r="D202" s="4" t="s">
        <v>14</v>
      </c>
      <c r="E202" s="4" t="s">
        <v>15</v>
      </c>
      <c r="F202" s="6">
        <v>802</v>
      </c>
      <c r="G202" s="6">
        <v>262</v>
      </c>
      <c r="H202" s="6">
        <v>244</v>
      </c>
      <c r="I202" s="6">
        <v>14436</v>
      </c>
      <c r="J202" s="6">
        <f t="shared" si="14"/>
        <v>1357</v>
      </c>
      <c r="K202" s="6">
        <v>14280</v>
      </c>
      <c r="L202" s="6">
        <v>49</v>
      </c>
      <c r="M202" s="16" t="s">
        <v>33</v>
      </c>
      <c r="N202" s="17"/>
      <c r="O202" s="17"/>
      <c r="P202" s="4" t="s">
        <v>18</v>
      </c>
      <c r="Q202">
        <f>IFERROR(
  INDEX(Campaign!$C$2:$C$100, MATCH(M202, Campaign!$E$2:$E$100, 0)),
  0
)</f>
        <v>150000</v>
      </c>
      <c r="R202" s="25">
        <f>IFERROR(
  INDEX(Campaign!$C$2:$C$100, MATCH(N202, Campaign!$E$2:$E$100, 0)),
  0
)</f>
        <v>0</v>
      </c>
      <c r="S202">
        <f>IFERROR(
  INDEX(Campaign!$C$2:$C$100, MATCH(O202, Campaign!$E$2:$E$100, 0)),
  0
)</f>
        <v>0</v>
      </c>
      <c r="T202">
        <f t="shared" si="15"/>
        <v>9.0466666666666664E-3</v>
      </c>
      <c r="U202">
        <f t="shared" si="16"/>
        <v>9.0606816292601824E-2</v>
      </c>
      <c r="V202" s="40" t="str">
        <f>IFERROR(
  INDEX(Campaign!$A$2:$A$100, MATCH(M206, Campaign!$E$2:$E$100, 0)),
  ""
)</f>
        <v/>
      </c>
      <c r="W202" t="str">
        <f t="shared" si="17"/>
        <v>Before</v>
      </c>
      <c r="X202" s="19"/>
    </row>
    <row r="203" spans="1:24">
      <c r="A203" s="4" t="s">
        <v>257</v>
      </c>
      <c r="B203" s="4" t="s">
        <v>37</v>
      </c>
      <c r="C203" s="5">
        <v>45445</v>
      </c>
      <c r="D203" s="4" t="s">
        <v>43</v>
      </c>
      <c r="E203" s="4" t="s">
        <v>48</v>
      </c>
      <c r="F203" s="6">
        <v>1871</v>
      </c>
      <c r="G203" s="6">
        <v>252</v>
      </c>
      <c r="H203" s="6">
        <v>335</v>
      </c>
      <c r="I203" s="6">
        <v>29936</v>
      </c>
      <c r="J203" s="6">
        <f t="shared" si="14"/>
        <v>2746</v>
      </c>
      <c r="K203" s="6">
        <v>29576</v>
      </c>
      <c r="L203" s="6">
        <v>288</v>
      </c>
      <c r="M203" s="16" t="s">
        <v>33</v>
      </c>
      <c r="N203" s="17"/>
      <c r="O203" s="17"/>
      <c r="P203" s="4" t="s">
        <v>28</v>
      </c>
      <c r="Q203">
        <f>IFERROR(
  INDEX(Campaign!$C$2:$C$100, MATCH(M203, Campaign!$E$2:$E$100, 0)),
  0
)</f>
        <v>150000</v>
      </c>
      <c r="R203" s="25">
        <f>IFERROR(
  INDEX(Campaign!$C$2:$C$100, MATCH(N203, Campaign!$E$2:$E$100, 0)),
  0
)</f>
        <v>0</v>
      </c>
      <c r="S203">
        <f>IFERROR(
  INDEX(Campaign!$C$2:$C$100, MATCH(O203, Campaign!$E$2:$E$100, 0)),
  0
)</f>
        <v>0</v>
      </c>
      <c r="T203">
        <f t="shared" si="15"/>
        <v>1.8306666666666666E-2</v>
      </c>
      <c r="U203">
        <f t="shared" si="16"/>
        <v>8.2108498129342594E-2</v>
      </c>
      <c r="V203" s="40">
        <f>IFERROR(
  INDEX(Campaign!$A$2:$A$100, MATCH(M207, Campaign!$E$2:$E$100, 0)),
  ""
)</f>
        <v>45488</v>
      </c>
      <c r="W203" t="str">
        <f t="shared" si="17"/>
        <v>Before</v>
      </c>
      <c r="X203" s="19"/>
    </row>
    <row r="204" spans="1:24">
      <c r="A204" s="4" t="s">
        <v>258</v>
      </c>
      <c r="B204" s="4" t="s">
        <v>30</v>
      </c>
      <c r="C204" s="5">
        <v>45617</v>
      </c>
      <c r="D204" s="4" t="s">
        <v>38</v>
      </c>
      <c r="E204" s="4" t="s">
        <v>66</v>
      </c>
      <c r="F204" s="6">
        <v>3773</v>
      </c>
      <c r="G204" s="6">
        <v>299</v>
      </c>
      <c r="H204" s="6">
        <v>38</v>
      </c>
      <c r="I204" s="6">
        <v>71687</v>
      </c>
      <c r="J204" s="6">
        <f t="shared" si="14"/>
        <v>4396</v>
      </c>
      <c r="K204" s="6">
        <v>71447</v>
      </c>
      <c r="L204" s="6">
        <v>286</v>
      </c>
      <c r="M204" s="16" t="s">
        <v>16</v>
      </c>
      <c r="N204" s="17"/>
      <c r="O204" s="17"/>
      <c r="P204" s="4" t="s">
        <v>18</v>
      </c>
      <c r="Q204">
        <f>IFERROR(
  INDEX(Campaign!$C$2:$C$100, MATCH(M204, Campaign!$E$2:$E$100, 0)),
  0
)</f>
        <v>0</v>
      </c>
      <c r="R204" s="25">
        <f>IFERROR(
  INDEX(Campaign!$C$2:$C$100, MATCH(N204, Campaign!$E$2:$E$100, 0)),
  0
)</f>
        <v>0</v>
      </c>
      <c r="S204">
        <f>IFERROR(
  INDEX(Campaign!$C$2:$C$100, MATCH(O204, Campaign!$E$2:$E$100, 0)),
  0
)</f>
        <v>0</v>
      </c>
      <c r="T204" t="str">
        <f t="shared" si="15"/>
        <v/>
      </c>
      <c r="U204">
        <f t="shared" si="16"/>
        <v>5.7332570758993957E-2</v>
      </c>
      <c r="V204" s="40" t="str">
        <f>IFERROR(
  INDEX(Campaign!$A$2:$A$100, MATCH(M208, Campaign!$E$2:$E$100, 0)),
  ""
)</f>
        <v/>
      </c>
      <c r="W204" t="str">
        <f t="shared" si="17"/>
        <v>Before</v>
      </c>
      <c r="X204" s="19"/>
    </row>
    <row r="205" spans="1:24">
      <c r="A205" s="4" t="s">
        <v>259</v>
      </c>
      <c r="B205" s="4" t="s">
        <v>30</v>
      </c>
      <c r="C205" s="5">
        <v>45658</v>
      </c>
      <c r="D205" s="4" t="s">
        <v>38</v>
      </c>
      <c r="E205" s="4" t="s">
        <v>66</v>
      </c>
      <c r="F205" s="6">
        <v>2234</v>
      </c>
      <c r="G205" s="6">
        <v>653</v>
      </c>
      <c r="H205" s="6">
        <v>432</v>
      </c>
      <c r="I205" s="6">
        <v>11170</v>
      </c>
      <c r="J205" s="6">
        <f t="shared" si="14"/>
        <v>3517</v>
      </c>
      <c r="K205" s="6">
        <v>10569</v>
      </c>
      <c r="L205" s="6">
        <v>198</v>
      </c>
      <c r="M205" s="16" t="s">
        <v>16</v>
      </c>
      <c r="N205" s="17"/>
      <c r="O205" s="17"/>
      <c r="P205" s="4" t="s">
        <v>28</v>
      </c>
      <c r="Q205">
        <f>IFERROR(
  INDEX(Campaign!$C$2:$C$100, MATCH(M205, Campaign!$E$2:$E$100, 0)),
  0
)</f>
        <v>0</v>
      </c>
      <c r="R205" s="25">
        <f>IFERROR(
  INDEX(Campaign!$C$2:$C$100, MATCH(N205, Campaign!$E$2:$E$100, 0)),
  0
)</f>
        <v>0</v>
      </c>
      <c r="S205">
        <f>IFERROR(
  INDEX(Campaign!$C$2:$C$100, MATCH(O205, Campaign!$E$2:$E$100, 0)),
  0
)</f>
        <v>0</v>
      </c>
      <c r="T205" t="str">
        <f t="shared" si="15"/>
        <v/>
      </c>
      <c r="U205">
        <f t="shared" si="16"/>
        <v>0.29713518352730528</v>
      </c>
      <c r="V205" s="40" t="str">
        <f>IFERROR(
  INDEX(Campaign!$A$2:$A$100, MATCH(M209, Campaign!$E$2:$E$100, 0)),
  ""
)</f>
        <v/>
      </c>
      <c r="W205" t="str">
        <f t="shared" si="17"/>
        <v>Before</v>
      </c>
      <c r="X205" s="19"/>
    </row>
    <row r="206" spans="1:24">
      <c r="A206" s="4" t="s">
        <v>260</v>
      </c>
      <c r="B206" s="4" t="s">
        <v>13</v>
      </c>
      <c r="C206" s="5">
        <v>45771</v>
      </c>
      <c r="D206" s="4" t="s">
        <v>57</v>
      </c>
      <c r="E206" s="4" t="s">
        <v>96</v>
      </c>
      <c r="F206" s="6">
        <v>3820</v>
      </c>
      <c r="G206" s="6">
        <v>697</v>
      </c>
      <c r="H206" s="6">
        <v>268</v>
      </c>
      <c r="I206" s="6">
        <v>45840</v>
      </c>
      <c r="J206" s="6">
        <f t="shared" si="14"/>
        <v>4956</v>
      </c>
      <c r="K206" s="6">
        <v>45631</v>
      </c>
      <c r="L206" s="6">
        <v>171</v>
      </c>
      <c r="M206" s="16" t="s">
        <v>22</v>
      </c>
      <c r="N206" s="17" t="s">
        <v>195</v>
      </c>
      <c r="O206" s="17"/>
      <c r="P206" s="4" t="s">
        <v>34</v>
      </c>
      <c r="Q206">
        <f>IFERROR(
  INDEX(Campaign!$C$2:$C$100, MATCH(M206, Campaign!$E$2:$E$100, 0)),
  0
)</f>
        <v>0</v>
      </c>
      <c r="R206" s="25">
        <f>IFERROR(
  INDEX(Campaign!$C$2:$C$100, MATCH(N206, Campaign!$E$2:$E$100, 0)),
  0
)</f>
        <v>250000</v>
      </c>
      <c r="S206">
        <f>IFERROR(
  INDEX(Campaign!$C$2:$C$100, MATCH(O206, Campaign!$E$2:$E$100, 0)),
  0
)</f>
        <v>0</v>
      </c>
      <c r="T206">
        <f t="shared" si="15"/>
        <v>1.9824000000000001E-2</v>
      </c>
      <c r="U206">
        <f t="shared" si="16"/>
        <v>0.1043848167539267</v>
      </c>
      <c r="V206" s="40" t="str">
        <f>IFERROR(
  INDEX(Campaign!$A$2:$A$100, MATCH(M210, Campaign!$E$2:$E$100, 0)),
  ""
)</f>
        <v/>
      </c>
      <c r="W206" t="str">
        <f t="shared" si="17"/>
        <v>Before</v>
      </c>
      <c r="X206" s="19"/>
    </row>
    <row r="207" spans="1:24">
      <c r="A207" s="4" t="s">
        <v>261</v>
      </c>
      <c r="B207" s="4" t="s">
        <v>13</v>
      </c>
      <c r="C207" s="5">
        <v>45467</v>
      </c>
      <c r="D207" s="4" t="s">
        <v>20</v>
      </c>
      <c r="E207" s="4" t="s">
        <v>21</v>
      </c>
      <c r="F207" s="6">
        <v>941</v>
      </c>
      <c r="G207" s="6">
        <v>121</v>
      </c>
      <c r="H207" s="6">
        <v>458</v>
      </c>
      <c r="I207" s="6">
        <v>14115</v>
      </c>
      <c r="J207" s="6">
        <f t="shared" si="14"/>
        <v>1607</v>
      </c>
      <c r="K207" s="6">
        <v>13838</v>
      </c>
      <c r="L207" s="6">
        <v>87</v>
      </c>
      <c r="M207" s="16" t="s">
        <v>33</v>
      </c>
      <c r="N207" s="17"/>
      <c r="O207" s="17"/>
      <c r="P207" s="4" t="s">
        <v>18</v>
      </c>
      <c r="Q207">
        <f>IFERROR(
  INDEX(Campaign!$C$2:$C$100, MATCH(M207, Campaign!$E$2:$E$100, 0)),
  0
)</f>
        <v>150000</v>
      </c>
      <c r="R207" s="25">
        <f>IFERROR(
  INDEX(Campaign!$C$2:$C$100, MATCH(N207, Campaign!$E$2:$E$100, 0)),
  0
)</f>
        <v>0</v>
      </c>
      <c r="S207">
        <f>IFERROR(
  INDEX(Campaign!$C$2:$C$100, MATCH(O207, Campaign!$E$2:$E$100, 0)),
  0
)</f>
        <v>0</v>
      </c>
      <c r="T207">
        <f t="shared" si="15"/>
        <v>1.0713333333333333E-2</v>
      </c>
      <c r="U207">
        <f t="shared" si="16"/>
        <v>0.10768685795253277</v>
      </c>
      <c r="V207" s="40" t="str">
        <f>IFERROR(
  INDEX(Campaign!$A$2:$A$100, MATCH(M211, Campaign!$E$2:$E$100, 0)),
  ""
)</f>
        <v/>
      </c>
      <c r="W207" t="str">
        <f t="shared" si="17"/>
        <v>Before</v>
      </c>
      <c r="X207" s="19"/>
    </row>
    <row r="208" spans="1:24">
      <c r="A208" s="4" t="s">
        <v>262</v>
      </c>
      <c r="B208" s="4" t="s">
        <v>13</v>
      </c>
      <c r="C208" s="5">
        <v>45655</v>
      </c>
      <c r="D208" s="4" t="s">
        <v>38</v>
      </c>
      <c r="E208" s="4" t="s">
        <v>41</v>
      </c>
      <c r="F208" s="6">
        <v>4274</v>
      </c>
      <c r="G208" s="6">
        <v>340</v>
      </c>
      <c r="H208" s="6">
        <v>281</v>
      </c>
      <c r="I208" s="6">
        <v>34192</v>
      </c>
      <c r="J208" s="6">
        <f t="shared" si="14"/>
        <v>5024</v>
      </c>
      <c r="K208" s="6">
        <v>33446</v>
      </c>
      <c r="L208" s="6">
        <v>129</v>
      </c>
      <c r="M208" s="16" t="s">
        <v>22</v>
      </c>
      <c r="N208" s="17" t="s">
        <v>195</v>
      </c>
      <c r="O208" s="17"/>
      <c r="P208" s="4" t="s">
        <v>28</v>
      </c>
      <c r="Q208">
        <f>IFERROR(
  INDEX(Campaign!$C$2:$C$100, MATCH(M208, Campaign!$E$2:$E$100, 0)),
  0
)</f>
        <v>0</v>
      </c>
      <c r="R208" s="25">
        <f>IFERROR(
  INDEX(Campaign!$C$2:$C$100, MATCH(N208, Campaign!$E$2:$E$100, 0)),
  0
)</f>
        <v>250000</v>
      </c>
      <c r="S208">
        <f>IFERROR(
  INDEX(Campaign!$C$2:$C$100, MATCH(O208, Campaign!$E$2:$E$100, 0)),
  0
)</f>
        <v>0</v>
      </c>
      <c r="T208">
        <f t="shared" si="15"/>
        <v>2.0095999999999999E-2</v>
      </c>
      <c r="U208">
        <f t="shared" si="16"/>
        <v>0.14316214319138981</v>
      </c>
      <c r="V208" s="40" t="str">
        <f>IFERROR(
  INDEX(Campaign!$A$2:$A$100, MATCH(M212, Campaign!$E$2:$E$100, 0)),
  ""
)</f>
        <v/>
      </c>
      <c r="W208" t="str">
        <f t="shared" si="17"/>
        <v>Before</v>
      </c>
      <c r="X208" s="19"/>
    </row>
    <row r="209" spans="1:24">
      <c r="A209" s="4" t="s">
        <v>263</v>
      </c>
      <c r="B209" s="4" t="s">
        <v>26</v>
      </c>
      <c r="C209" s="5">
        <v>45467</v>
      </c>
      <c r="D209" s="4" t="s">
        <v>57</v>
      </c>
      <c r="E209" s="4" t="s">
        <v>137</v>
      </c>
      <c r="F209" s="6">
        <v>2949</v>
      </c>
      <c r="G209" s="6">
        <v>476</v>
      </c>
      <c r="H209" s="6">
        <v>403</v>
      </c>
      <c r="I209" s="6">
        <v>44235</v>
      </c>
      <c r="J209" s="6">
        <f t="shared" si="14"/>
        <v>3963</v>
      </c>
      <c r="K209" s="6">
        <v>43705</v>
      </c>
      <c r="L209" s="6">
        <v>135</v>
      </c>
      <c r="M209" s="16" t="s">
        <v>22</v>
      </c>
      <c r="N209" s="17"/>
      <c r="O209" s="17"/>
      <c r="P209" s="4" t="s">
        <v>24</v>
      </c>
      <c r="Q209">
        <f>IFERROR(
  INDEX(Campaign!$C$2:$C$100, MATCH(M209, Campaign!$E$2:$E$100, 0)),
  0
)</f>
        <v>0</v>
      </c>
      <c r="R209" s="25">
        <f>IFERROR(
  INDEX(Campaign!$C$2:$C$100, MATCH(N209, Campaign!$E$2:$E$100, 0)),
  0
)</f>
        <v>0</v>
      </c>
      <c r="S209">
        <f>IFERROR(
  INDEX(Campaign!$C$2:$C$100, MATCH(O209, Campaign!$E$2:$E$100, 0)),
  0
)</f>
        <v>0</v>
      </c>
      <c r="T209" t="str">
        <f t="shared" si="15"/>
        <v/>
      </c>
      <c r="U209">
        <f t="shared" si="16"/>
        <v>8.6537809426924378E-2</v>
      </c>
      <c r="V209" s="40" t="str">
        <f>IFERROR(
  INDEX(Campaign!$A$2:$A$100, MATCH(M213, Campaign!$E$2:$E$100, 0)),
  ""
)</f>
        <v/>
      </c>
      <c r="W209" t="str">
        <f t="shared" si="17"/>
        <v>Before</v>
      </c>
      <c r="X209" s="19"/>
    </row>
    <row r="210" spans="1:24">
      <c r="A210" s="4" t="s">
        <v>264</v>
      </c>
      <c r="B210" s="4" t="s">
        <v>13</v>
      </c>
      <c r="C210" s="5">
        <v>45735</v>
      </c>
      <c r="D210" s="4" t="s">
        <v>57</v>
      </c>
      <c r="E210" s="4" t="s">
        <v>96</v>
      </c>
      <c r="F210" s="6">
        <v>3160</v>
      </c>
      <c r="G210" s="6">
        <v>204</v>
      </c>
      <c r="H210" s="6">
        <v>297</v>
      </c>
      <c r="I210" s="6">
        <v>44240</v>
      </c>
      <c r="J210" s="6">
        <f t="shared" si="14"/>
        <v>3710</v>
      </c>
      <c r="K210" s="6">
        <v>43666</v>
      </c>
      <c r="L210" s="6">
        <v>49</v>
      </c>
      <c r="M210" s="16" t="s">
        <v>16</v>
      </c>
      <c r="N210" s="17" t="s">
        <v>17</v>
      </c>
      <c r="O210" s="17"/>
      <c r="P210" s="4" t="s">
        <v>34</v>
      </c>
      <c r="Q210">
        <f>IFERROR(
  INDEX(Campaign!$C$2:$C$100, MATCH(M210, Campaign!$E$2:$E$100, 0)),
  0
)</f>
        <v>0</v>
      </c>
      <c r="R210" s="25">
        <f>IFERROR(
  INDEX(Campaign!$C$2:$C$100, MATCH(N210, Campaign!$E$2:$E$100, 0)),
  0
)</f>
        <v>200000</v>
      </c>
      <c r="S210">
        <f>IFERROR(
  INDEX(Campaign!$C$2:$C$100, MATCH(O210, Campaign!$E$2:$E$100, 0)),
  0
)</f>
        <v>0</v>
      </c>
      <c r="T210">
        <f t="shared" si="15"/>
        <v>1.8550000000000001E-2</v>
      </c>
      <c r="U210">
        <f t="shared" si="16"/>
        <v>8.2753164556962022E-2</v>
      </c>
      <c r="V210" s="40">
        <f>IFERROR(
  INDEX(Campaign!$A$2:$A$100, MATCH(M214, Campaign!$E$2:$E$100, 0)),
  ""
)</f>
        <v>45488</v>
      </c>
      <c r="W210" t="str">
        <f t="shared" si="17"/>
        <v>Before</v>
      </c>
      <c r="X210" s="19"/>
    </row>
    <row r="211" spans="1:24">
      <c r="A211" s="4" t="s">
        <v>265</v>
      </c>
      <c r="B211" s="4" t="s">
        <v>26</v>
      </c>
      <c r="C211" s="5">
        <v>45707</v>
      </c>
      <c r="D211" s="4" t="s">
        <v>43</v>
      </c>
      <c r="E211" s="4" t="s">
        <v>44</v>
      </c>
      <c r="F211" s="6">
        <v>257</v>
      </c>
      <c r="G211" s="6">
        <v>966</v>
      </c>
      <c r="H211" s="6">
        <v>398</v>
      </c>
      <c r="I211" s="6">
        <v>3341</v>
      </c>
      <c r="J211" s="6">
        <f t="shared" si="14"/>
        <v>1908</v>
      </c>
      <c r="K211" s="6">
        <v>2753</v>
      </c>
      <c r="L211" s="6">
        <v>287</v>
      </c>
      <c r="M211" s="16" t="s">
        <v>16</v>
      </c>
      <c r="N211" s="17"/>
      <c r="O211" s="17"/>
      <c r="P211" s="4" t="s">
        <v>18</v>
      </c>
      <c r="Q211">
        <f>IFERROR(
  INDEX(Campaign!$C$2:$C$100, MATCH(M211, Campaign!$E$2:$E$100, 0)),
  0
)</f>
        <v>0</v>
      </c>
      <c r="R211" s="25">
        <f>IFERROR(
  INDEX(Campaign!$C$2:$C$100, MATCH(N211, Campaign!$E$2:$E$100, 0)),
  0
)</f>
        <v>0</v>
      </c>
      <c r="S211">
        <f>IFERROR(
  INDEX(Campaign!$C$2:$C$100, MATCH(O211, Campaign!$E$2:$E$100, 0)),
  0
)</f>
        <v>0</v>
      </c>
      <c r="T211" t="str">
        <f t="shared" si="15"/>
        <v/>
      </c>
      <c r="U211">
        <f t="shared" si="16"/>
        <v>0.48518407662376534</v>
      </c>
      <c r="V211" s="40" t="str">
        <f>IFERROR(
  INDEX(Campaign!$A$2:$A$100, MATCH(M215, Campaign!$E$2:$E$100, 0)),
  ""
)</f>
        <v/>
      </c>
      <c r="W211" t="str">
        <f t="shared" si="17"/>
        <v>Before</v>
      </c>
      <c r="X211" s="19"/>
    </row>
    <row r="212" spans="1:24">
      <c r="A212" s="4" t="s">
        <v>266</v>
      </c>
      <c r="B212" s="4" t="s">
        <v>13</v>
      </c>
      <c r="C212" s="5">
        <v>45491</v>
      </c>
      <c r="D212" s="4" t="s">
        <v>38</v>
      </c>
      <c r="E212" s="4" t="s">
        <v>41</v>
      </c>
      <c r="F212" s="6">
        <v>2120</v>
      </c>
      <c r="G212" s="6">
        <v>38</v>
      </c>
      <c r="H212" s="6">
        <v>212</v>
      </c>
      <c r="I212" s="6">
        <v>12720</v>
      </c>
      <c r="J212" s="6">
        <f t="shared" si="14"/>
        <v>2391</v>
      </c>
      <c r="K212" s="6">
        <v>12564</v>
      </c>
      <c r="L212" s="6">
        <v>21</v>
      </c>
      <c r="M212" s="16" t="s">
        <v>16</v>
      </c>
      <c r="N212" s="17"/>
      <c r="O212" s="17"/>
      <c r="P212" s="4" t="s">
        <v>34</v>
      </c>
      <c r="Q212">
        <f>IFERROR(
  INDEX(Campaign!$C$2:$C$100, MATCH(M212, Campaign!$E$2:$E$100, 0)),
  0
)</f>
        <v>0</v>
      </c>
      <c r="R212" s="25">
        <f>IFERROR(
  INDEX(Campaign!$C$2:$C$100, MATCH(N212, Campaign!$E$2:$E$100, 0)),
  0
)</f>
        <v>0</v>
      </c>
      <c r="S212">
        <f>IFERROR(
  INDEX(Campaign!$C$2:$C$100, MATCH(O212, Campaign!$E$2:$E$100, 0)),
  0
)</f>
        <v>0</v>
      </c>
      <c r="T212" t="str">
        <f t="shared" si="15"/>
        <v/>
      </c>
      <c r="U212">
        <f t="shared" si="16"/>
        <v>0.18632075471698112</v>
      </c>
      <c r="V212" s="40">
        <f>IFERROR(
  INDEX(Campaign!$A$2:$A$100, MATCH(M216, Campaign!$E$2:$E$100, 0)),
  ""
)</f>
        <v>45488</v>
      </c>
      <c r="W212" t="str">
        <f t="shared" si="17"/>
        <v>Before</v>
      </c>
      <c r="X212" s="19"/>
    </row>
    <row r="213" spans="1:24">
      <c r="A213" s="4" t="s">
        <v>267</v>
      </c>
      <c r="B213" s="4" t="s">
        <v>26</v>
      </c>
      <c r="C213" s="5">
        <v>45719</v>
      </c>
      <c r="D213" s="4" t="s">
        <v>57</v>
      </c>
      <c r="E213" s="4" t="s">
        <v>137</v>
      </c>
      <c r="F213" s="6">
        <v>3874</v>
      </c>
      <c r="G213" s="6">
        <v>884</v>
      </c>
      <c r="H213" s="6">
        <v>19</v>
      </c>
      <c r="I213" s="6">
        <v>38740</v>
      </c>
      <c r="J213" s="6">
        <f t="shared" si="14"/>
        <v>4996</v>
      </c>
      <c r="K213" s="6">
        <v>38552</v>
      </c>
      <c r="L213" s="6">
        <v>219</v>
      </c>
      <c r="M213" s="16" t="s">
        <v>22</v>
      </c>
      <c r="N213" s="17"/>
      <c r="O213" s="17"/>
      <c r="P213" s="4" t="s">
        <v>24</v>
      </c>
      <c r="Q213">
        <f>IFERROR(
  INDEX(Campaign!$C$2:$C$100, MATCH(M213, Campaign!$E$2:$E$100, 0)),
  0
)</f>
        <v>0</v>
      </c>
      <c r="R213" s="25">
        <f>IFERROR(
  INDEX(Campaign!$C$2:$C$100, MATCH(N213, Campaign!$E$2:$E$100, 0)),
  0
)</f>
        <v>0</v>
      </c>
      <c r="S213">
        <f>IFERROR(
  INDEX(Campaign!$C$2:$C$100, MATCH(O213, Campaign!$E$2:$E$100, 0)),
  0
)</f>
        <v>0</v>
      </c>
      <c r="T213" t="str">
        <f t="shared" si="15"/>
        <v/>
      </c>
      <c r="U213">
        <f t="shared" si="16"/>
        <v>0.123309241094476</v>
      </c>
      <c r="V213" s="40">
        <f>IFERROR(
  INDEX(Campaign!$A$2:$A$100, MATCH(M217, Campaign!$E$2:$E$100, 0)),
  ""
)</f>
        <v>45488</v>
      </c>
      <c r="W213" t="str">
        <f t="shared" si="17"/>
        <v>Before</v>
      </c>
      <c r="X213" s="19"/>
    </row>
    <row r="214" spans="1:24">
      <c r="A214" s="4" t="s">
        <v>268</v>
      </c>
      <c r="B214" s="4" t="s">
        <v>37</v>
      </c>
      <c r="C214" s="5">
        <v>45778</v>
      </c>
      <c r="D214" s="4" t="s">
        <v>38</v>
      </c>
      <c r="E214" s="4" t="s">
        <v>39</v>
      </c>
      <c r="F214" s="6">
        <v>2696</v>
      </c>
      <c r="G214" s="6">
        <v>628</v>
      </c>
      <c r="H214" s="6">
        <v>443</v>
      </c>
      <c r="I214" s="6">
        <v>45832</v>
      </c>
      <c r="J214" s="6">
        <f t="shared" si="14"/>
        <v>4015</v>
      </c>
      <c r="K214" s="6">
        <v>45632</v>
      </c>
      <c r="L214" s="6">
        <v>248</v>
      </c>
      <c r="M214" s="16" t="s">
        <v>33</v>
      </c>
      <c r="N214" s="17"/>
      <c r="O214" s="17"/>
      <c r="P214" s="4" t="s">
        <v>34</v>
      </c>
      <c r="Q214">
        <f>IFERROR(
  INDEX(Campaign!$C$2:$C$100, MATCH(M214, Campaign!$E$2:$E$100, 0)),
  0
)</f>
        <v>150000</v>
      </c>
      <c r="R214" s="25">
        <f>IFERROR(
  INDEX(Campaign!$C$2:$C$100, MATCH(N214, Campaign!$E$2:$E$100, 0)),
  0
)</f>
        <v>0</v>
      </c>
      <c r="S214">
        <f>IFERROR(
  INDEX(Campaign!$C$2:$C$100, MATCH(O214, Campaign!$E$2:$E$100, 0)),
  0
)</f>
        <v>0</v>
      </c>
      <c r="T214">
        <f t="shared" si="15"/>
        <v>2.6766666666666668E-2</v>
      </c>
      <c r="U214">
        <f t="shared" si="16"/>
        <v>8.21914819340199E-2</v>
      </c>
      <c r="V214" s="40" t="str">
        <f>IFERROR(
  INDEX(Campaign!$A$2:$A$100, MATCH(M218, Campaign!$E$2:$E$100, 0)),
  ""
)</f>
        <v/>
      </c>
      <c r="W214" t="str">
        <f t="shared" si="17"/>
        <v>Before</v>
      </c>
      <c r="X214" s="19"/>
    </row>
    <row r="215" spans="1:24">
      <c r="A215" s="4" t="s">
        <v>269</v>
      </c>
      <c r="B215" s="4" t="s">
        <v>30</v>
      </c>
      <c r="C215" s="5">
        <v>45649</v>
      </c>
      <c r="D215" s="4" t="s">
        <v>43</v>
      </c>
      <c r="E215" s="4" t="s">
        <v>135</v>
      </c>
      <c r="F215" s="6">
        <v>521</v>
      </c>
      <c r="G215" s="6">
        <v>746</v>
      </c>
      <c r="H215" s="6">
        <v>315</v>
      </c>
      <c r="I215" s="6">
        <v>4168</v>
      </c>
      <c r="J215" s="6">
        <f t="shared" si="14"/>
        <v>1864</v>
      </c>
      <c r="K215" s="6">
        <v>3399</v>
      </c>
      <c r="L215" s="6">
        <v>282</v>
      </c>
      <c r="M215" s="16" t="s">
        <v>16</v>
      </c>
      <c r="N215" s="17"/>
      <c r="O215" s="17"/>
      <c r="P215" s="4" t="s">
        <v>24</v>
      </c>
      <c r="Q215">
        <f>IFERROR(
  INDEX(Campaign!$C$2:$C$100, MATCH(M215, Campaign!$E$2:$E$100, 0)),
  0
)</f>
        <v>0</v>
      </c>
      <c r="R215" s="25">
        <f>IFERROR(
  INDEX(Campaign!$C$2:$C$100, MATCH(N215, Campaign!$E$2:$E$100, 0)),
  0
)</f>
        <v>0</v>
      </c>
      <c r="S215">
        <f>IFERROR(
  INDEX(Campaign!$C$2:$C$100, MATCH(O215, Campaign!$E$2:$E$100, 0)),
  0
)</f>
        <v>0</v>
      </c>
      <c r="T215" t="str">
        <f t="shared" si="15"/>
        <v/>
      </c>
      <c r="U215">
        <f t="shared" si="16"/>
        <v>0.37955854126679461</v>
      </c>
      <c r="V215" s="40" t="str">
        <f>IFERROR(
  INDEX(Campaign!$A$2:$A$100, MATCH(M219, Campaign!$E$2:$E$100, 0)),
  ""
)</f>
        <v/>
      </c>
      <c r="W215" t="str">
        <f t="shared" si="17"/>
        <v>Before</v>
      </c>
      <c r="X215" s="19"/>
    </row>
    <row r="216" spans="1:24">
      <c r="A216" s="4" t="s">
        <v>270</v>
      </c>
      <c r="B216" s="4" t="s">
        <v>37</v>
      </c>
      <c r="C216" s="5">
        <v>45783</v>
      </c>
      <c r="D216" s="4" t="s">
        <v>43</v>
      </c>
      <c r="E216" s="4" t="s">
        <v>48</v>
      </c>
      <c r="F216" s="6">
        <v>4872</v>
      </c>
      <c r="G216" s="6">
        <v>925</v>
      </c>
      <c r="H216" s="6">
        <v>176</v>
      </c>
      <c r="I216" s="6">
        <v>82824</v>
      </c>
      <c r="J216" s="6">
        <f t="shared" si="14"/>
        <v>6062</v>
      </c>
      <c r="K216" s="6">
        <v>82543</v>
      </c>
      <c r="L216" s="6">
        <v>89</v>
      </c>
      <c r="M216" s="16" t="s">
        <v>33</v>
      </c>
      <c r="N216" s="17"/>
      <c r="O216" s="17"/>
      <c r="P216" s="4" t="s">
        <v>24</v>
      </c>
      <c r="Q216">
        <f>IFERROR(
  INDEX(Campaign!$C$2:$C$100, MATCH(M216, Campaign!$E$2:$E$100, 0)),
  0
)</f>
        <v>150000</v>
      </c>
      <c r="R216" s="25">
        <f>IFERROR(
  INDEX(Campaign!$C$2:$C$100, MATCH(N216, Campaign!$E$2:$E$100, 0)),
  0
)</f>
        <v>0</v>
      </c>
      <c r="S216">
        <f>IFERROR(
  INDEX(Campaign!$C$2:$C$100, MATCH(O216, Campaign!$E$2:$E$100, 0)),
  0
)</f>
        <v>0</v>
      </c>
      <c r="T216">
        <f t="shared" si="15"/>
        <v>4.0413333333333336E-2</v>
      </c>
      <c r="U216">
        <f t="shared" si="16"/>
        <v>7.2116777745580993E-2</v>
      </c>
      <c r="V216" s="40" t="str">
        <f>IFERROR(
  INDEX(Campaign!$A$2:$A$100, MATCH(M220, Campaign!$E$2:$E$100, 0)),
  ""
)</f>
        <v/>
      </c>
      <c r="W216" t="str">
        <f t="shared" si="17"/>
        <v>Before</v>
      </c>
      <c r="X216" s="19"/>
    </row>
    <row r="217" spans="1:24">
      <c r="A217" s="4" t="s">
        <v>271</v>
      </c>
      <c r="B217" s="4" t="s">
        <v>26</v>
      </c>
      <c r="C217" s="5">
        <v>45502</v>
      </c>
      <c r="D217" s="4" t="s">
        <v>31</v>
      </c>
      <c r="E217" s="4" t="s">
        <v>102</v>
      </c>
      <c r="F217" s="6">
        <v>1509</v>
      </c>
      <c r="G217" s="6">
        <v>88</v>
      </c>
      <c r="H217" s="6">
        <v>163</v>
      </c>
      <c r="I217" s="6">
        <v>30180</v>
      </c>
      <c r="J217" s="6">
        <f t="shared" si="14"/>
        <v>1879</v>
      </c>
      <c r="K217" s="6">
        <v>29689</v>
      </c>
      <c r="L217" s="6">
        <v>119</v>
      </c>
      <c r="M217" s="16" t="s">
        <v>33</v>
      </c>
      <c r="N217" s="17"/>
      <c r="O217" s="17"/>
      <c r="P217" s="4" t="s">
        <v>24</v>
      </c>
      <c r="Q217">
        <f>IFERROR(
  INDEX(Campaign!$C$2:$C$100, MATCH(M217, Campaign!$E$2:$E$100, 0)),
  0
)</f>
        <v>150000</v>
      </c>
      <c r="R217" s="25">
        <f>IFERROR(
  INDEX(Campaign!$C$2:$C$100, MATCH(N217, Campaign!$E$2:$E$100, 0)),
  0
)</f>
        <v>0</v>
      </c>
      <c r="S217">
        <f>IFERROR(
  INDEX(Campaign!$C$2:$C$100, MATCH(O217, Campaign!$E$2:$E$100, 0)),
  0
)</f>
        <v>0</v>
      </c>
      <c r="T217">
        <f t="shared" si="15"/>
        <v>1.2526666666666667E-2</v>
      </c>
      <c r="U217">
        <f t="shared" si="16"/>
        <v>5.8316766070245198E-2</v>
      </c>
      <c r="V217" s="40">
        <f>IFERROR(
  INDEX(Campaign!$A$2:$A$100, MATCH(M221, Campaign!$E$2:$E$100, 0)),
  ""
)</f>
        <v>45488</v>
      </c>
      <c r="W217" t="str">
        <f t="shared" si="17"/>
        <v>Before</v>
      </c>
      <c r="X217" s="19"/>
    </row>
    <row r="218" spans="1:24">
      <c r="A218" s="4" t="s">
        <v>272</v>
      </c>
      <c r="B218" s="4" t="s">
        <v>37</v>
      </c>
      <c r="C218" s="5">
        <v>45629</v>
      </c>
      <c r="D218" s="4" t="s">
        <v>43</v>
      </c>
      <c r="E218" s="4" t="s">
        <v>48</v>
      </c>
      <c r="F218" s="6">
        <v>4606</v>
      </c>
      <c r="G218" s="6">
        <v>931</v>
      </c>
      <c r="H218" s="6">
        <v>230</v>
      </c>
      <c r="I218" s="6">
        <v>92120</v>
      </c>
      <c r="J218" s="6">
        <f t="shared" si="14"/>
        <v>5823</v>
      </c>
      <c r="K218" s="6">
        <v>91440</v>
      </c>
      <c r="L218" s="6">
        <v>56</v>
      </c>
      <c r="M218" s="16" t="s">
        <v>22</v>
      </c>
      <c r="N218" s="17"/>
      <c r="O218" s="17"/>
      <c r="P218" s="7"/>
      <c r="Q218">
        <f>IFERROR(
  INDEX(Campaign!$C$2:$C$100, MATCH(M218, Campaign!$E$2:$E$100, 0)),
  0
)</f>
        <v>0</v>
      </c>
      <c r="R218" s="25">
        <f>IFERROR(
  INDEX(Campaign!$C$2:$C$100, MATCH(N218, Campaign!$E$2:$E$100, 0)),
  0
)</f>
        <v>0</v>
      </c>
      <c r="S218">
        <f>IFERROR(
  INDEX(Campaign!$C$2:$C$100, MATCH(O218, Campaign!$E$2:$E$100, 0)),
  0
)</f>
        <v>0</v>
      </c>
      <c r="T218" t="str">
        <f t="shared" si="15"/>
        <v/>
      </c>
      <c r="U218">
        <f t="shared" si="16"/>
        <v>6.2603126356925748E-2</v>
      </c>
      <c r="V218" s="40" t="str">
        <f>IFERROR(
  INDEX(Campaign!$A$2:$A$100, MATCH(M222, Campaign!$E$2:$E$100, 0)),
  ""
)</f>
        <v/>
      </c>
      <c r="W218" t="str">
        <f t="shared" si="17"/>
        <v>Before</v>
      </c>
      <c r="X218" s="19"/>
    </row>
    <row r="219" spans="1:24">
      <c r="A219" s="4" t="s">
        <v>273</v>
      </c>
      <c r="B219" s="4" t="s">
        <v>37</v>
      </c>
      <c r="C219" s="5">
        <v>45454</v>
      </c>
      <c r="D219" s="4" t="s">
        <v>38</v>
      </c>
      <c r="E219" s="4" t="s">
        <v>39</v>
      </c>
      <c r="F219" s="6">
        <v>1869</v>
      </c>
      <c r="G219" s="6">
        <v>453</v>
      </c>
      <c r="H219" s="6">
        <v>490</v>
      </c>
      <c r="I219" s="6">
        <v>14952</v>
      </c>
      <c r="J219" s="6">
        <f t="shared" si="14"/>
        <v>3087</v>
      </c>
      <c r="K219" s="6">
        <v>14309</v>
      </c>
      <c r="L219" s="6">
        <v>275</v>
      </c>
      <c r="M219" s="16" t="s">
        <v>22</v>
      </c>
      <c r="N219" s="17"/>
      <c r="O219" s="17"/>
      <c r="P219" s="4" t="s">
        <v>34</v>
      </c>
      <c r="Q219">
        <f>IFERROR(
  INDEX(Campaign!$C$2:$C$100, MATCH(M219, Campaign!$E$2:$E$100, 0)),
  0
)</f>
        <v>0</v>
      </c>
      <c r="R219" s="25">
        <f>IFERROR(
  INDEX(Campaign!$C$2:$C$100, MATCH(N219, Campaign!$E$2:$E$100, 0)),
  0
)</f>
        <v>0</v>
      </c>
      <c r="S219">
        <f>IFERROR(
  INDEX(Campaign!$C$2:$C$100, MATCH(O219, Campaign!$E$2:$E$100, 0)),
  0
)</f>
        <v>0</v>
      </c>
      <c r="T219" t="str">
        <f t="shared" si="15"/>
        <v/>
      </c>
      <c r="U219">
        <f t="shared" si="16"/>
        <v>0.18806848582129482</v>
      </c>
      <c r="V219" s="40" t="str">
        <f>IFERROR(
  INDEX(Campaign!$A$2:$A$100, MATCH(M223, Campaign!$E$2:$E$100, 0)),
  ""
)</f>
        <v/>
      </c>
      <c r="W219" t="str">
        <f t="shared" si="17"/>
        <v>Before</v>
      </c>
      <c r="X219" s="19"/>
    </row>
    <row r="220" spans="1:24">
      <c r="A220" s="4" t="s">
        <v>274</v>
      </c>
      <c r="B220" s="4" t="s">
        <v>13</v>
      </c>
      <c r="C220" s="5">
        <v>45685</v>
      </c>
      <c r="D220" s="4" t="s">
        <v>14</v>
      </c>
      <c r="E220" s="4" t="s">
        <v>15</v>
      </c>
      <c r="F220" s="6">
        <v>1188</v>
      </c>
      <c r="G220" s="6">
        <v>470</v>
      </c>
      <c r="H220" s="6">
        <v>174</v>
      </c>
      <c r="I220" s="6">
        <v>7128</v>
      </c>
      <c r="J220" s="6">
        <f t="shared" si="14"/>
        <v>2102</v>
      </c>
      <c r="K220" s="6">
        <v>6145</v>
      </c>
      <c r="L220" s="6">
        <v>270</v>
      </c>
      <c r="M220" s="16" t="s">
        <v>22</v>
      </c>
      <c r="N220" s="17"/>
      <c r="O220" s="17"/>
      <c r="P220" s="4" t="s">
        <v>34</v>
      </c>
      <c r="Q220">
        <f>IFERROR(
  INDEX(Campaign!$C$2:$C$100, MATCH(M220, Campaign!$E$2:$E$100, 0)),
  0
)</f>
        <v>0</v>
      </c>
      <c r="R220" s="25">
        <f>IFERROR(
  INDEX(Campaign!$C$2:$C$100, MATCH(N220, Campaign!$E$2:$E$100, 0)),
  0
)</f>
        <v>0</v>
      </c>
      <c r="S220">
        <f>IFERROR(
  INDEX(Campaign!$C$2:$C$100, MATCH(O220, Campaign!$E$2:$E$100, 0)),
  0
)</f>
        <v>0</v>
      </c>
      <c r="T220" t="str">
        <f t="shared" si="15"/>
        <v/>
      </c>
      <c r="U220">
        <f t="shared" si="16"/>
        <v>0.25701459034792368</v>
      </c>
      <c r="V220" s="40" t="str">
        <f>IFERROR(
  INDEX(Campaign!$A$2:$A$100, MATCH(M224, Campaign!$E$2:$E$100, 0)),
  ""
)</f>
        <v/>
      </c>
      <c r="W220" t="str">
        <f t="shared" si="17"/>
        <v>Before</v>
      </c>
      <c r="X220" s="19"/>
    </row>
    <row r="221" spans="1:24">
      <c r="A221" s="4" t="s">
        <v>275</v>
      </c>
      <c r="B221" s="4" t="s">
        <v>30</v>
      </c>
      <c r="C221" s="5">
        <v>45445</v>
      </c>
      <c r="D221" s="4" t="s">
        <v>31</v>
      </c>
      <c r="E221" s="4" t="s">
        <v>32</v>
      </c>
      <c r="F221" s="6">
        <v>84</v>
      </c>
      <c r="G221" s="6">
        <v>897</v>
      </c>
      <c r="H221" s="6">
        <v>85</v>
      </c>
      <c r="I221" s="6">
        <v>588</v>
      </c>
      <c r="J221" s="6">
        <f t="shared" si="14"/>
        <v>1078</v>
      </c>
      <c r="K221" s="6">
        <v>8</v>
      </c>
      <c r="L221" s="6">
        <v>12</v>
      </c>
      <c r="M221" s="16" t="s">
        <v>33</v>
      </c>
      <c r="N221" s="17"/>
      <c r="O221" s="17"/>
      <c r="P221" s="7"/>
      <c r="Q221">
        <f>IFERROR(
  INDEX(Campaign!$C$2:$C$100, MATCH(M221, Campaign!$E$2:$E$100, 0)),
  0
)</f>
        <v>150000</v>
      </c>
      <c r="R221" s="25">
        <f>IFERROR(
  INDEX(Campaign!$C$2:$C$100, MATCH(N221, Campaign!$E$2:$E$100, 0)),
  0
)</f>
        <v>0</v>
      </c>
      <c r="S221">
        <f>IFERROR(
  INDEX(Campaign!$C$2:$C$100, MATCH(O221, Campaign!$E$2:$E$100, 0)),
  0
)</f>
        <v>0</v>
      </c>
      <c r="T221">
        <f t="shared" si="15"/>
        <v>7.1866666666666667E-3</v>
      </c>
      <c r="U221">
        <f t="shared" si="16"/>
        <v>1.8129251700680271</v>
      </c>
      <c r="V221" s="40" t="str">
        <f>IFERROR(
  INDEX(Campaign!$A$2:$A$100, MATCH(M225, Campaign!$E$2:$E$100, 0)),
  ""
)</f>
        <v/>
      </c>
      <c r="W221" t="str">
        <f t="shared" si="17"/>
        <v>Before</v>
      </c>
      <c r="X221" s="19"/>
    </row>
    <row r="222" spans="1:24">
      <c r="A222" s="4" t="s">
        <v>276</v>
      </c>
      <c r="B222" s="4" t="s">
        <v>37</v>
      </c>
      <c r="C222" s="5">
        <v>45739</v>
      </c>
      <c r="D222" s="4" t="s">
        <v>57</v>
      </c>
      <c r="E222" s="4" t="s">
        <v>58</v>
      </c>
      <c r="F222" s="6">
        <v>4453</v>
      </c>
      <c r="G222" s="6">
        <v>111</v>
      </c>
      <c r="H222" s="6">
        <v>420</v>
      </c>
      <c r="I222" s="6">
        <v>31171</v>
      </c>
      <c r="J222" s="6">
        <f t="shared" si="14"/>
        <v>5007</v>
      </c>
      <c r="K222" s="6">
        <v>30565</v>
      </c>
      <c r="L222" s="6">
        <v>23</v>
      </c>
      <c r="M222" s="16" t="s">
        <v>22</v>
      </c>
      <c r="N222" s="17"/>
      <c r="O222" s="17"/>
      <c r="P222" s="7"/>
      <c r="Q222">
        <f>IFERROR(
  INDEX(Campaign!$C$2:$C$100, MATCH(M222, Campaign!$E$2:$E$100, 0)),
  0
)</f>
        <v>0</v>
      </c>
      <c r="R222" s="25">
        <f>IFERROR(
  INDEX(Campaign!$C$2:$C$100, MATCH(N222, Campaign!$E$2:$E$100, 0)),
  0
)</f>
        <v>0</v>
      </c>
      <c r="S222">
        <f>IFERROR(
  INDEX(Campaign!$C$2:$C$100, MATCH(O222, Campaign!$E$2:$E$100, 0)),
  0
)</f>
        <v>0</v>
      </c>
      <c r="T222" t="str">
        <f t="shared" si="15"/>
        <v/>
      </c>
      <c r="U222">
        <f t="shared" si="16"/>
        <v>0.15989220750056141</v>
      </c>
      <c r="V222" s="40">
        <f>IFERROR(
  INDEX(Campaign!$A$2:$A$100, MATCH(M226, Campaign!$E$2:$E$100, 0)),
  ""
)</f>
        <v>45488</v>
      </c>
      <c r="W222" t="str">
        <f t="shared" si="17"/>
        <v>Before</v>
      </c>
      <c r="X222" s="19"/>
    </row>
    <row r="223" spans="1:24">
      <c r="A223" s="4" t="s">
        <v>277</v>
      </c>
      <c r="B223" s="4" t="s">
        <v>37</v>
      </c>
      <c r="C223" s="5">
        <v>45573</v>
      </c>
      <c r="D223" s="4" t="s">
        <v>14</v>
      </c>
      <c r="E223" s="4" t="s">
        <v>51</v>
      </c>
      <c r="F223" s="6">
        <v>1814</v>
      </c>
      <c r="G223" s="6">
        <v>653</v>
      </c>
      <c r="H223" s="6">
        <v>363</v>
      </c>
      <c r="I223" s="6">
        <v>25396</v>
      </c>
      <c r="J223" s="6">
        <f t="shared" si="14"/>
        <v>2869</v>
      </c>
      <c r="K223" s="6">
        <v>25286</v>
      </c>
      <c r="L223" s="6">
        <v>39</v>
      </c>
      <c r="M223" s="16" t="s">
        <v>16</v>
      </c>
      <c r="N223" s="17" t="s">
        <v>195</v>
      </c>
      <c r="O223" s="17"/>
      <c r="P223" s="4" t="s">
        <v>18</v>
      </c>
      <c r="Q223">
        <f>IFERROR(
  INDEX(Campaign!$C$2:$C$100, MATCH(M223, Campaign!$E$2:$E$100, 0)),
  0
)</f>
        <v>0</v>
      </c>
      <c r="R223" s="25">
        <f>IFERROR(
  INDEX(Campaign!$C$2:$C$100, MATCH(N223, Campaign!$E$2:$E$100, 0)),
  0
)</f>
        <v>250000</v>
      </c>
      <c r="S223">
        <f>IFERROR(
  INDEX(Campaign!$C$2:$C$100, MATCH(O223, Campaign!$E$2:$E$100, 0)),
  0
)</f>
        <v>0</v>
      </c>
      <c r="T223">
        <f t="shared" si="15"/>
        <v>1.1476E-2</v>
      </c>
      <c r="U223">
        <f t="shared" si="16"/>
        <v>0.11143487163332809</v>
      </c>
      <c r="V223" s="40" t="str">
        <f>IFERROR(
  INDEX(Campaign!$A$2:$A$100, MATCH(M227, Campaign!$E$2:$E$100, 0)),
  ""
)</f>
        <v/>
      </c>
      <c r="W223" t="str">
        <f t="shared" si="17"/>
        <v>Before</v>
      </c>
      <c r="X223" s="19"/>
    </row>
    <row r="224" spans="1:24">
      <c r="A224" s="4" t="s">
        <v>278</v>
      </c>
      <c r="B224" s="4" t="s">
        <v>13</v>
      </c>
      <c r="C224" s="5">
        <v>45608</v>
      </c>
      <c r="D224" s="4" t="s">
        <v>43</v>
      </c>
      <c r="E224" s="4" t="s">
        <v>89</v>
      </c>
      <c r="F224" s="6">
        <v>3338</v>
      </c>
      <c r="G224" s="6">
        <v>277</v>
      </c>
      <c r="H224" s="6">
        <v>118</v>
      </c>
      <c r="I224" s="6">
        <v>60084</v>
      </c>
      <c r="J224" s="6">
        <f t="shared" si="14"/>
        <v>3985</v>
      </c>
      <c r="K224" s="6">
        <v>59842</v>
      </c>
      <c r="L224" s="6">
        <v>252</v>
      </c>
      <c r="M224" s="16" t="s">
        <v>22</v>
      </c>
      <c r="N224" s="17"/>
      <c r="O224" s="17"/>
      <c r="P224" s="7"/>
      <c r="Q224">
        <f>IFERROR(
  INDEX(Campaign!$C$2:$C$100, MATCH(M224, Campaign!$E$2:$E$100, 0)),
  0
)</f>
        <v>0</v>
      </c>
      <c r="R224" s="25">
        <f>IFERROR(
  INDEX(Campaign!$C$2:$C$100, MATCH(N224, Campaign!$E$2:$E$100, 0)),
  0
)</f>
        <v>0</v>
      </c>
      <c r="S224">
        <f>IFERROR(
  INDEX(Campaign!$C$2:$C$100, MATCH(O224, Campaign!$E$2:$E$100, 0)),
  0
)</f>
        <v>0</v>
      </c>
      <c r="T224" t="str">
        <f t="shared" si="15"/>
        <v/>
      </c>
      <c r="U224">
        <f t="shared" si="16"/>
        <v>6.2129685107516146E-2</v>
      </c>
      <c r="V224" s="40" t="str">
        <f>IFERROR(
  INDEX(Campaign!$A$2:$A$100, MATCH(M228, Campaign!$E$2:$E$100, 0)),
  ""
)</f>
        <v/>
      </c>
      <c r="W224" t="str">
        <f t="shared" si="17"/>
        <v>Before</v>
      </c>
      <c r="X224" s="19"/>
    </row>
    <row r="225" spans="1:24">
      <c r="A225" s="4" t="s">
        <v>279</v>
      </c>
      <c r="B225" s="4" t="s">
        <v>37</v>
      </c>
      <c r="C225" s="5">
        <v>45790</v>
      </c>
      <c r="D225" s="4" t="s">
        <v>43</v>
      </c>
      <c r="E225" s="4" t="s">
        <v>48</v>
      </c>
      <c r="F225" s="6">
        <v>602</v>
      </c>
      <c r="G225" s="6">
        <v>594</v>
      </c>
      <c r="H225" s="6">
        <v>156</v>
      </c>
      <c r="I225" s="6">
        <v>4214</v>
      </c>
      <c r="J225" s="6">
        <f t="shared" si="14"/>
        <v>1516</v>
      </c>
      <c r="K225" s="6">
        <v>3363</v>
      </c>
      <c r="L225" s="6">
        <v>164</v>
      </c>
      <c r="M225" s="16" t="s">
        <v>22</v>
      </c>
      <c r="N225" s="17"/>
      <c r="O225" s="17"/>
      <c r="P225" s="4" t="s">
        <v>28</v>
      </c>
      <c r="Q225">
        <f>IFERROR(
  INDEX(Campaign!$C$2:$C$100, MATCH(M225, Campaign!$E$2:$E$100, 0)),
  0
)</f>
        <v>0</v>
      </c>
      <c r="R225" s="25">
        <f>IFERROR(
  INDEX(Campaign!$C$2:$C$100, MATCH(N225, Campaign!$E$2:$E$100, 0)),
  0
)</f>
        <v>0</v>
      </c>
      <c r="S225">
        <f>IFERROR(
  INDEX(Campaign!$C$2:$C$100, MATCH(O225, Campaign!$E$2:$E$100, 0)),
  0
)</f>
        <v>0</v>
      </c>
      <c r="T225" t="str">
        <f t="shared" si="15"/>
        <v/>
      </c>
      <c r="U225">
        <f t="shared" si="16"/>
        <v>0.32083531086853345</v>
      </c>
      <c r="V225" s="40">
        <f>IFERROR(
  INDEX(Campaign!$A$2:$A$100, MATCH(M229, Campaign!$E$2:$E$100, 0)),
  ""
)</f>
        <v>45488</v>
      </c>
      <c r="W225" t="str">
        <f t="shared" si="17"/>
        <v>Before</v>
      </c>
      <c r="X225" s="19"/>
    </row>
    <row r="226" spans="1:24">
      <c r="A226" s="4" t="s">
        <v>280</v>
      </c>
      <c r="B226" s="4" t="s">
        <v>13</v>
      </c>
      <c r="C226" s="5">
        <v>45463</v>
      </c>
      <c r="D226" s="4" t="s">
        <v>38</v>
      </c>
      <c r="E226" s="4" t="s">
        <v>41</v>
      </c>
      <c r="F226" s="6">
        <v>4672</v>
      </c>
      <c r="G226" s="6">
        <v>325</v>
      </c>
      <c r="H226" s="6">
        <v>32</v>
      </c>
      <c r="I226" s="6">
        <v>88768</v>
      </c>
      <c r="J226" s="6">
        <f t="shared" si="14"/>
        <v>5147</v>
      </c>
      <c r="K226" s="6">
        <v>87833</v>
      </c>
      <c r="L226" s="6">
        <v>118</v>
      </c>
      <c r="M226" s="16" t="s">
        <v>33</v>
      </c>
      <c r="N226" s="17"/>
      <c r="O226" s="17"/>
      <c r="P226" s="7"/>
      <c r="Q226">
        <f>IFERROR(
  INDEX(Campaign!$C$2:$C$100, MATCH(M226, Campaign!$E$2:$E$100, 0)),
  0
)</f>
        <v>150000</v>
      </c>
      <c r="R226" s="25">
        <f>IFERROR(
  INDEX(Campaign!$C$2:$C$100, MATCH(N226, Campaign!$E$2:$E$100, 0)),
  0
)</f>
        <v>0</v>
      </c>
      <c r="S226">
        <f>IFERROR(
  INDEX(Campaign!$C$2:$C$100, MATCH(O226, Campaign!$E$2:$E$100, 0)),
  0
)</f>
        <v>0</v>
      </c>
      <c r="T226">
        <f t="shared" si="15"/>
        <v>3.4313333333333335E-2</v>
      </c>
      <c r="U226">
        <f t="shared" si="16"/>
        <v>5.6653298485940883E-2</v>
      </c>
      <c r="V226" s="40" t="str">
        <f>IFERROR(
  INDEX(Campaign!$A$2:$A$100, MATCH(M230, Campaign!$E$2:$E$100, 0)),
  ""
)</f>
        <v/>
      </c>
      <c r="W226" t="str">
        <f t="shared" si="17"/>
        <v>Before</v>
      </c>
      <c r="X226" s="19"/>
    </row>
    <row r="227" spans="1:24">
      <c r="A227" s="4" t="s">
        <v>281</v>
      </c>
      <c r="B227" s="4" t="s">
        <v>30</v>
      </c>
      <c r="C227" s="5">
        <v>45511</v>
      </c>
      <c r="D227" s="4" t="s">
        <v>38</v>
      </c>
      <c r="E227" s="4" t="s">
        <v>66</v>
      </c>
      <c r="F227" s="6">
        <v>1741</v>
      </c>
      <c r="G227" s="6">
        <v>164</v>
      </c>
      <c r="H227" s="6">
        <v>318</v>
      </c>
      <c r="I227" s="6">
        <v>8705</v>
      </c>
      <c r="J227" s="6">
        <f t="shared" si="14"/>
        <v>2344</v>
      </c>
      <c r="K227" s="6">
        <v>8272</v>
      </c>
      <c r="L227" s="6">
        <v>121</v>
      </c>
      <c r="M227" s="16" t="s">
        <v>22</v>
      </c>
      <c r="N227" s="17"/>
      <c r="O227" s="17"/>
      <c r="P227" s="7"/>
      <c r="Q227">
        <f>IFERROR(
  INDEX(Campaign!$C$2:$C$100, MATCH(M227, Campaign!$E$2:$E$100, 0)),
  0
)</f>
        <v>0</v>
      </c>
      <c r="R227" s="25">
        <f>IFERROR(
  INDEX(Campaign!$C$2:$C$100, MATCH(N227, Campaign!$E$2:$E$100, 0)),
  0
)</f>
        <v>0</v>
      </c>
      <c r="S227">
        <f>IFERROR(
  INDEX(Campaign!$C$2:$C$100, MATCH(O227, Campaign!$E$2:$E$100, 0)),
  0
)</f>
        <v>0</v>
      </c>
      <c r="T227" t="str">
        <f t="shared" si="15"/>
        <v/>
      </c>
      <c r="U227">
        <f t="shared" si="16"/>
        <v>0.25537047673750718</v>
      </c>
      <c r="V227" s="40">
        <f>IFERROR(
  INDEX(Campaign!$A$2:$A$100, MATCH(M231, Campaign!$E$2:$E$100, 0)),
  ""
)</f>
        <v>45488</v>
      </c>
      <c r="W227" t="str">
        <f t="shared" si="17"/>
        <v>Before</v>
      </c>
      <c r="X227" s="19"/>
    </row>
    <row r="228" spans="1:24">
      <c r="A228" s="4" t="s">
        <v>282</v>
      </c>
      <c r="B228" s="4" t="s">
        <v>30</v>
      </c>
      <c r="C228" s="5">
        <v>45455</v>
      </c>
      <c r="D228" s="4" t="s">
        <v>20</v>
      </c>
      <c r="E228" s="4" t="s">
        <v>79</v>
      </c>
      <c r="F228" s="6">
        <v>246</v>
      </c>
      <c r="G228" s="6">
        <v>149</v>
      </c>
      <c r="H228" s="6">
        <v>130</v>
      </c>
      <c r="I228" s="6">
        <v>4674</v>
      </c>
      <c r="J228" s="6">
        <f t="shared" si="14"/>
        <v>742</v>
      </c>
      <c r="K228" s="6">
        <v>4390</v>
      </c>
      <c r="L228" s="6">
        <v>217</v>
      </c>
      <c r="M228" s="16" t="s">
        <v>16</v>
      </c>
      <c r="N228" s="17"/>
      <c r="O228" s="17"/>
      <c r="P228" s="4" t="s">
        <v>28</v>
      </c>
      <c r="Q228">
        <f>IFERROR(
  INDEX(Campaign!$C$2:$C$100, MATCH(M228, Campaign!$E$2:$E$100, 0)),
  0
)</f>
        <v>0</v>
      </c>
      <c r="R228" s="25">
        <f>IFERROR(
  INDEX(Campaign!$C$2:$C$100, MATCH(N228, Campaign!$E$2:$E$100, 0)),
  0
)</f>
        <v>0</v>
      </c>
      <c r="S228">
        <f>IFERROR(
  INDEX(Campaign!$C$2:$C$100, MATCH(O228, Campaign!$E$2:$E$100, 0)),
  0
)</f>
        <v>0</v>
      </c>
      <c r="T228" t="str">
        <f t="shared" si="15"/>
        <v/>
      </c>
      <c r="U228">
        <f t="shared" si="16"/>
        <v>0.11232349165596919</v>
      </c>
      <c r="V228" s="40" t="str">
        <f>IFERROR(
  INDEX(Campaign!$A$2:$A$100, MATCH(M232, Campaign!$E$2:$E$100, 0)),
  ""
)</f>
        <v/>
      </c>
      <c r="W228" t="str">
        <f t="shared" si="17"/>
        <v>Before</v>
      </c>
      <c r="X228" s="19"/>
    </row>
    <row r="229" spans="1:24">
      <c r="A229" s="4" t="s">
        <v>283</v>
      </c>
      <c r="B229" s="4" t="s">
        <v>30</v>
      </c>
      <c r="C229" s="5">
        <v>45474</v>
      </c>
      <c r="D229" s="4" t="s">
        <v>31</v>
      </c>
      <c r="E229" s="4" t="s">
        <v>32</v>
      </c>
      <c r="F229" s="6">
        <v>4808</v>
      </c>
      <c r="G229" s="6">
        <v>772</v>
      </c>
      <c r="H229" s="6">
        <v>320</v>
      </c>
      <c r="I229" s="6">
        <v>72120</v>
      </c>
      <c r="J229" s="6">
        <f t="shared" si="14"/>
        <v>6095</v>
      </c>
      <c r="K229" s="6">
        <v>71696</v>
      </c>
      <c r="L229" s="6">
        <v>195</v>
      </c>
      <c r="M229" s="16" t="s">
        <v>33</v>
      </c>
      <c r="N229" s="17"/>
      <c r="O229" s="17"/>
      <c r="P229" s="4" t="s">
        <v>18</v>
      </c>
      <c r="Q229">
        <f>IFERROR(
  INDEX(Campaign!$C$2:$C$100, MATCH(M229, Campaign!$E$2:$E$100, 0)),
  0
)</f>
        <v>150000</v>
      </c>
      <c r="R229" s="25">
        <f>IFERROR(
  INDEX(Campaign!$C$2:$C$100, MATCH(N229, Campaign!$E$2:$E$100, 0)),
  0
)</f>
        <v>0</v>
      </c>
      <c r="S229">
        <f>IFERROR(
  INDEX(Campaign!$C$2:$C$100, MATCH(O229, Campaign!$E$2:$E$100, 0)),
  0
)</f>
        <v>0</v>
      </c>
      <c r="T229">
        <f t="shared" si="15"/>
        <v>4.0633333333333334E-2</v>
      </c>
      <c r="U229">
        <f t="shared" si="16"/>
        <v>8.1808097615085965E-2</v>
      </c>
      <c r="V229" s="40">
        <f>IFERROR(
  INDEX(Campaign!$A$2:$A$100, MATCH(M233, Campaign!$E$2:$E$100, 0)),
  ""
)</f>
        <v>45488</v>
      </c>
      <c r="W229" t="str">
        <f t="shared" si="17"/>
        <v>Before</v>
      </c>
      <c r="X229" s="19"/>
    </row>
    <row r="230" spans="1:24">
      <c r="A230" s="4" t="s">
        <v>284</v>
      </c>
      <c r="B230" s="4" t="s">
        <v>30</v>
      </c>
      <c r="C230" s="5">
        <v>45476</v>
      </c>
      <c r="D230" s="4" t="s">
        <v>38</v>
      </c>
      <c r="E230" s="4" t="s">
        <v>66</v>
      </c>
      <c r="F230" s="6">
        <v>4799</v>
      </c>
      <c r="G230" s="6">
        <v>694</v>
      </c>
      <c r="H230" s="6">
        <v>289</v>
      </c>
      <c r="I230" s="6">
        <v>43191</v>
      </c>
      <c r="J230" s="6">
        <f t="shared" si="14"/>
        <v>5900</v>
      </c>
      <c r="K230" s="6">
        <v>42228</v>
      </c>
      <c r="L230" s="6">
        <v>118</v>
      </c>
      <c r="M230" s="16" t="s">
        <v>22</v>
      </c>
      <c r="N230" s="17"/>
      <c r="O230" s="17"/>
      <c r="P230" s="7"/>
      <c r="Q230">
        <f>IFERROR(
  INDEX(Campaign!$C$2:$C$100, MATCH(M230, Campaign!$E$2:$E$100, 0)),
  0
)</f>
        <v>0</v>
      </c>
      <c r="R230" s="25">
        <f>IFERROR(
  INDEX(Campaign!$C$2:$C$100, MATCH(N230, Campaign!$E$2:$E$100, 0)),
  0
)</f>
        <v>0</v>
      </c>
      <c r="S230">
        <f>IFERROR(
  INDEX(Campaign!$C$2:$C$100, MATCH(O230, Campaign!$E$2:$E$100, 0)),
  0
)</f>
        <v>0</v>
      </c>
      <c r="T230" t="str">
        <f t="shared" si="15"/>
        <v/>
      </c>
      <c r="U230">
        <f t="shared" si="16"/>
        <v>0.13387048227640017</v>
      </c>
      <c r="V230" s="40" t="str">
        <f>IFERROR(
  INDEX(Campaign!$A$2:$A$100, MATCH(M234, Campaign!$E$2:$E$100, 0)),
  ""
)</f>
        <v/>
      </c>
      <c r="W230" t="str">
        <f t="shared" si="17"/>
        <v>Before</v>
      </c>
      <c r="X230" s="19"/>
    </row>
    <row r="231" spans="1:24">
      <c r="A231" s="4" t="s">
        <v>285</v>
      </c>
      <c r="B231" s="4" t="s">
        <v>37</v>
      </c>
      <c r="C231" s="5">
        <v>45488</v>
      </c>
      <c r="D231" s="4" t="s">
        <v>14</v>
      </c>
      <c r="E231" s="4" t="s">
        <v>51</v>
      </c>
      <c r="F231" s="6">
        <v>3663</v>
      </c>
      <c r="G231" s="6">
        <v>17</v>
      </c>
      <c r="H231" s="6">
        <v>295</v>
      </c>
      <c r="I231" s="6">
        <v>51282</v>
      </c>
      <c r="J231" s="6">
        <f t="shared" si="14"/>
        <v>4059</v>
      </c>
      <c r="K231" s="6">
        <v>50567</v>
      </c>
      <c r="L231" s="6">
        <v>84</v>
      </c>
      <c r="M231" s="16" t="s">
        <v>33</v>
      </c>
      <c r="N231" s="17"/>
      <c r="O231" s="17"/>
      <c r="P231" s="4" t="s">
        <v>28</v>
      </c>
      <c r="Q231">
        <f>IFERROR(
  INDEX(Campaign!$C$2:$C$100, MATCH(M231, Campaign!$E$2:$E$100, 0)),
  0
)</f>
        <v>150000</v>
      </c>
      <c r="R231" s="25">
        <f>IFERROR(
  INDEX(Campaign!$C$2:$C$100, MATCH(N231, Campaign!$E$2:$E$100, 0)),
  0
)</f>
        <v>0</v>
      </c>
      <c r="S231">
        <f>IFERROR(
  INDEX(Campaign!$C$2:$C$100, MATCH(O231, Campaign!$E$2:$E$100, 0)),
  0
)</f>
        <v>0</v>
      </c>
      <c r="T231">
        <f t="shared" si="15"/>
        <v>2.7060000000000001E-2</v>
      </c>
      <c r="U231">
        <f t="shared" si="16"/>
        <v>7.7512577512577507E-2</v>
      </c>
      <c r="V231" s="40" t="str">
        <f>IFERROR(
  INDEX(Campaign!$A$2:$A$100, MATCH(M235, Campaign!$E$2:$E$100, 0)),
  ""
)</f>
        <v/>
      </c>
      <c r="W231" t="str">
        <f t="shared" si="17"/>
        <v>Before</v>
      </c>
      <c r="X231" s="19"/>
    </row>
    <row r="232" spans="1:24">
      <c r="A232" s="4" t="s">
        <v>286</v>
      </c>
      <c r="B232" s="4" t="s">
        <v>30</v>
      </c>
      <c r="C232" s="5">
        <v>45778</v>
      </c>
      <c r="D232" s="4" t="s">
        <v>20</v>
      </c>
      <c r="E232" s="4" t="s">
        <v>79</v>
      </c>
      <c r="F232" s="6">
        <v>1430</v>
      </c>
      <c r="G232" s="6">
        <v>376</v>
      </c>
      <c r="H232" s="6">
        <v>33</v>
      </c>
      <c r="I232" s="6">
        <v>21450</v>
      </c>
      <c r="J232" s="6">
        <f t="shared" si="14"/>
        <v>2090</v>
      </c>
      <c r="K232" s="6">
        <v>20509</v>
      </c>
      <c r="L232" s="6">
        <v>251</v>
      </c>
      <c r="M232" s="16" t="s">
        <v>16</v>
      </c>
      <c r="N232" s="17"/>
      <c r="O232" s="17"/>
      <c r="P232" s="4" t="s">
        <v>18</v>
      </c>
      <c r="Q232">
        <f>IFERROR(
  INDEX(Campaign!$C$2:$C$100, MATCH(M232, Campaign!$E$2:$E$100, 0)),
  0
)</f>
        <v>0</v>
      </c>
      <c r="R232" s="25">
        <f>IFERROR(
  INDEX(Campaign!$C$2:$C$100, MATCH(N232, Campaign!$E$2:$E$100, 0)),
  0
)</f>
        <v>0</v>
      </c>
      <c r="S232">
        <f>IFERROR(
  INDEX(Campaign!$C$2:$C$100, MATCH(O232, Campaign!$E$2:$E$100, 0)),
  0
)</f>
        <v>0</v>
      </c>
      <c r="T232" t="str">
        <f t="shared" si="15"/>
        <v/>
      </c>
      <c r="U232">
        <f t="shared" si="16"/>
        <v>8.5734265734265735E-2</v>
      </c>
      <c r="V232" s="40" t="str">
        <f>IFERROR(
  INDEX(Campaign!$A$2:$A$100, MATCH(M236, Campaign!$E$2:$E$100, 0)),
  ""
)</f>
        <v/>
      </c>
      <c r="W232" t="str">
        <f t="shared" si="17"/>
        <v>Before</v>
      </c>
      <c r="X232" s="19"/>
    </row>
    <row r="233" spans="1:24">
      <c r="A233" s="4" t="s">
        <v>287</v>
      </c>
      <c r="B233" s="4" t="s">
        <v>13</v>
      </c>
      <c r="C233" s="5">
        <v>45776</v>
      </c>
      <c r="D233" s="4" t="s">
        <v>31</v>
      </c>
      <c r="E233" s="4" t="s">
        <v>99</v>
      </c>
      <c r="F233" s="6">
        <v>249</v>
      </c>
      <c r="G233" s="6">
        <v>592</v>
      </c>
      <c r="H233" s="6">
        <v>230</v>
      </c>
      <c r="I233" s="6">
        <v>1494</v>
      </c>
      <c r="J233" s="6">
        <f t="shared" si="14"/>
        <v>1272</v>
      </c>
      <c r="K233" s="6">
        <v>1044</v>
      </c>
      <c r="L233" s="6">
        <v>201</v>
      </c>
      <c r="M233" s="16" t="s">
        <v>33</v>
      </c>
      <c r="N233" s="17"/>
      <c r="O233" s="17"/>
      <c r="P233" s="4" t="s">
        <v>34</v>
      </c>
      <c r="Q233">
        <f>IFERROR(
  INDEX(Campaign!$C$2:$C$100, MATCH(M233, Campaign!$E$2:$E$100, 0)),
  0
)</f>
        <v>150000</v>
      </c>
      <c r="R233" s="25">
        <f>IFERROR(
  INDEX(Campaign!$C$2:$C$100, MATCH(N233, Campaign!$E$2:$E$100, 0)),
  0
)</f>
        <v>0</v>
      </c>
      <c r="S233">
        <f>IFERROR(
  INDEX(Campaign!$C$2:$C$100, MATCH(O233, Campaign!$E$2:$E$100, 0)),
  0
)</f>
        <v>0</v>
      </c>
      <c r="T233">
        <f t="shared" si="15"/>
        <v>8.4799999999999997E-3</v>
      </c>
      <c r="U233">
        <f t="shared" si="16"/>
        <v>0.7168674698795181</v>
      </c>
      <c r="V233" s="40" t="str">
        <f>IFERROR(
  INDEX(Campaign!$A$2:$A$100, MATCH(M237, Campaign!$E$2:$E$100, 0)),
  ""
)</f>
        <v/>
      </c>
      <c r="W233" t="str">
        <f t="shared" si="17"/>
        <v>Before</v>
      </c>
      <c r="X233" s="19"/>
    </row>
    <row r="234" spans="1:24">
      <c r="A234" s="4" t="s">
        <v>288</v>
      </c>
      <c r="B234" s="4" t="s">
        <v>37</v>
      </c>
      <c r="C234" s="5">
        <v>45724</v>
      </c>
      <c r="D234" s="4" t="s">
        <v>43</v>
      </c>
      <c r="E234" s="4" t="s">
        <v>48</v>
      </c>
      <c r="F234" s="6">
        <v>2382</v>
      </c>
      <c r="G234" s="6">
        <v>265</v>
      </c>
      <c r="H234" s="6">
        <v>134</v>
      </c>
      <c r="I234" s="6">
        <v>38112</v>
      </c>
      <c r="J234" s="6">
        <f t="shared" si="14"/>
        <v>3030</v>
      </c>
      <c r="K234" s="6">
        <v>37437</v>
      </c>
      <c r="L234" s="6">
        <v>249</v>
      </c>
      <c r="M234" s="16" t="s">
        <v>16</v>
      </c>
      <c r="N234" s="17"/>
      <c r="O234" s="17"/>
      <c r="P234" s="4" t="s">
        <v>34</v>
      </c>
      <c r="Q234">
        <f>IFERROR(
  INDEX(Campaign!$C$2:$C$100, MATCH(M234, Campaign!$E$2:$E$100, 0)),
  0
)</f>
        <v>0</v>
      </c>
      <c r="R234" s="25">
        <f>IFERROR(
  INDEX(Campaign!$C$2:$C$100, MATCH(N234, Campaign!$E$2:$E$100, 0)),
  0
)</f>
        <v>0</v>
      </c>
      <c r="S234">
        <f>IFERROR(
  INDEX(Campaign!$C$2:$C$100, MATCH(O234, Campaign!$E$2:$E$100, 0)),
  0
)</f>
        <v>0</v>
      </c>
      <c r="T234" t="str">
        <f t="shared" si="15"/>
        <v/>
      </c>
      <c r="U234">
        <f t="shared" si="16"/>
        <v>7.2969143576826198E-2</v>
      </c>
      <c r="V234" s="40" t="str">
        <f>IFERROR(
  INDEX(Campaign!$A$2:$A$100, MATCH(M238, Campaign!$E$2:$E$100, 0)),
  ""
)</f>
        <v/>
      </c>
      <c r="W234" t="str">
        <f t="shared" si="17"/>
        <v>Before</v>
      </c>
      <c r="X234" s="19"/>
    </row>
    <row r="235" spans="1:24">
      <c r="A235" s="4" t="s">
        <v>289</v>
      </c>
      <c r="B235" s="4" t="s">
        <v>37</v>
      </c>
      <c r="C235" s="5">
        <v>45444</v>
      </c>
      <c r="D235" s="4" t="s">
        <v>20</v>
      </c>
      <c r="E235" s="4" t="s">
        <v>46</v>
      </c>
      <c r="F235" s="6">
        <v>1272</v>
      </c>
      <c r="G235" s="6">
        <v>465</v>
      </c>
      <c r="H235" s="6">
        <v>99</v>
      </c>
      <c r="I235" s="6">
        <v>24168</v>
      </c>
      <c r="J235" s="6">
        <f t="shared" si="14"/>
        <v>1878</v>
      </c>
      <c r="K235" s="6">
        <v>23719</v>
      </c>
      <c r="L235" s="6">
        <v>42</v>
      </c>
      <c r="M235" s="16" t="s">
        <v>22</v>
      </c>
      <c r="N235" s="17"/>
      <c r="O235" s="17"/>
      <c r="P235" s="7"/>
      <c r="Q235">
        <f>IFERROR(
  INDEX(Campaign!$C$2:$C$100, MATCH(M235, Campaign!$E$2:$E$100, 0)),
  0
)</f>
        <v>0</v>
      </c>
      <c r="R235" s="25">
        <f>IFERROR(
  INDEX(Campaign!$C$2:$C$100, MATCH(N235, Campaign!$E$2:$E$100, 0)),
  0
)</f>
        <v>0</v>
      </c>
      <c r="S235">
        <f>IFERROR(
  INDEX(Campaign!$C$2:$C$100, MATCH(O235, Campaign!$E$2:$E$100, 0)),
  0
)</f>
        <v>0</v>
      </c>
      <c r="T235" t="str">
        <f t="shared" si="15"/>
        <v/>
      </c>
      <c r="U235">
        <f t="shared" si="16"/>
        <v>7.5968222442899705E-2</v>
      </c>
      <c r="V235" s="40" t="str">
        <f>IFERROR(
  INDEX(Campaign!$A$2:$A$100, MATCH(M239, Campaign!$E$2:$E$100, 0)),
  ""
)</f>
        <v/>
      </c>
      <c r="W235" t="str">
        <f t="shared" si="17"/>
        <v>Before</v>
      </c>
      <c r="X235" s="19"/>
    </row>
    <row r="236" spans="1:24">
      <c r="A236" s="4" t="s">
        <v>290</v>
      </c>
      <c r="B236" s="4" t="s">
        <v>37</v>
      </c>
      <c r="C236" s="5">
        <v>45648</v>
      </c>
      <c r="D236" s="4" t="s">
        <v>43</v>
      </c>
      <c r="E236" s="4" t="s">
        <v>48</v>
      </c>
      <c r="F236" s="6">
        <v>3196</v>
      </c>
      <c r="G236" s="6">
        <v>941</v>
      </c>
      <c r="H236" s="6">
        <v>376</v>
      </c>
      <c r="I236" s="6">
        <v>35156</v>
      </c>
      <c r="J236" s="6">
        <f t="shared" si="14"/>
        <v>4754</v>
      </c>
      <c r="K236" s="6">
        <v>34444</v>
      </c>
      <c r="L236" s="6">
        <v>241</v>
      </c>
      <c r="M236" s="16" t="s">
        <v>22</v>
      </c>
      <c r="N236" s="17"/>
      <c r="O236" s="17"/>
      <c r="P236" s="4" t="s">
        <v>28</v>
      </c>
      <c r="Q236">
        <f>IFERROR(
  INDEX(Campaign!$C$2:$C$100, MATCH(M236, Campaign!$E$2:$E$100, 0)),
  0
)</f>
        <v>0</v>
      </c>
      <c r="R236" s="25">
        <f>IFERROR(
  INDEX(Campaign!$C$2:$C$100, MATCH(N236, Campaign!$E$2:$E$100, 0)),
  0
)</f>
        <v>0</v>
      </c>
      <c r="S236">
        <f>IFERROR(
  INDEX(Campaign!$C$2:$C$100, MATCH(O236, Campaign!$E$2:$E$100, 0)),
  0
)</f>
        <v>0</v>
      </c>
      <c r="T236" t="str">
        <f t="shared" si="15"/>
        <v/>
      </c>
      <c r="U236">
        <f t="shared" si="16"/>
        <v>0.1283706906360223</v>
      </c>
      <c r="V236" s="40" t="str">
        <f>IFERROR(
  INDEX(Campaign!$A$2:$A$100, MATCH(M240, Campaign!$E$2:$E$100, 0)),
  ""
)</f>
        <v/>
      </c>
      <c r="W236" t="str">
        <f t="shared" si="17"/>
        <v>Before</v>
      </c>
      <c r="X236" s="19"/>
    </row>
    <row r="237" spans="1:24">
      <c r="A237" s="4" t="s">
        <v>291</v>
      </c>
      <c r="B237" s="4" t="s">
        <v>37</v>
      </c>
      <c r="C237" s="5">
        <v>45523</v>
      </c>
      <c r="D237" s="4" t="s">
        <v>20</v>
      </c>
      <c r="E237" s="4" t="s">
        <v>46</v>
      </c>
      <c r="F237" s="6">
        <v>1257</v>
      </c>
      <c r="G237" s="6">
        <v>19</v>
      </c>
      <c r="H237" s="6">
        <v>351</v>
      </c>
      <c r="I237" s="6">
        <v>12570</v>
      </c>
      <c r="J237" s="6">
        <f t="shared" si="14"/>
        <v>1821</v>
      </c>
      <c r="K237" s="6">
        <v>11660</v>
      </c>
      <c r="L237" s="6">
        <v>194</v>
      </c>
      <c r="M237" s="16" t="s">
        <v>16</v>
      </c>
      <c r="N237" s="17" t="s">
        <v>17</v>
      </c>
      <c r="O237" s="17" t="s">
        <v>33</v>
      </c>
      <c r="P237" s="4" t="s">
        <v>24</v>
      </c>
      <c r="Q237">
        <f>IFERROR(
  INDEX(Campaign!$C$2:$C$100, MATCH(M237, Campaign!$E$2:$E$100, 0)),
  0
)</f>
        <v>0</v>
      </c>
      <c r="R237" s="25">
        <f>IFERROR(
  INDEX(Campaign!$C$2:$C$100, MATCH(N237, Campaign!$E$2:$E$100, 0)),
  0
)</f>
        <v>200000</v>
      </c>
      <c r="S237">
        <f>IFERROR(
  INDEX(Campaign!$C$2:$C$100, MATCH(O237, Campaign!$E$2:$E$100, 0)),
  0
)</f>
        <v>150000</v>
      </c>
      <c r="T237">
        <f t="shared" si="15"/>
        <v>5.2028571428571427E-3</v>
      </c>
      <c r="U237">
        <f t="shared" si="16"/>
        <v>0.12943516308671441</v>
      </c>
      <c r="V237" s="40">
        <f>IFERROR(
  INDEX(Campaign!$A$2:$A$100, MATCH(M241, Campaign!$E$2:$E$100, 0)),
  ""
)</f>
        <v>45488</v>
      </c>
      <c r="W237" t="str">
        <f t="shared" si="17"/>
        <v>During</v>
      </c>
      <c r="X237" s="19"/>
    </row>
    <row r="238" spans="1:24">
      <c r="A238" s="4" t="s">
        <v>292</v>
      </c>
      <c r="B238" s="4" t="s">
        <v>30</v>
      </c>
      <c r="C238" s="5">
        <v>45587</v>
      </c>
      <c r="D238" s="4" t="s">
        <v>31</v>
      </c>
      <c r="E238" s="4" t="s">
        <v>32</v>
      </c>
      <c r="F238" s="6">
        <v>3770</v>
      </c>
      <c r="G238" s="6">
        <v>917</v>
      </c>
      <c r="H238" s="6">
        <v>129</v>
      </c>
      <c r="I238" s="6">
        <v>71630</v>
      </c>
      <c r="J238" s="6">
        <f t="shared" si="14"/>
        <v>4892</v>
      </c>
      <c r="K238" s="6">
        <v>71322</v>
      </c>
      <c r="L238" s="6">
        <v>76</v>
      </c>
      <c r="M238" s="16" t="s">
        <v>16</v>
      </c>
      <c r="N238" s="17"/>
      <c r="O238" s="17"/>
      <c r="P238" s="4" t="s">
        <v>18</v>
      </c>
      <c r="Q238">
        <f>IFERROR(
  INDEX(Campaign!$C$2:$C$100, MATCH(M238, Campaign!$E$2:$E$100, 0)),
  0
)</f>
        <v>0</v>
      </c>
      <c r="R238" s="25">
        <f>IFERROR(
  INDEX(Campaign!$C$2:$C$100, MATCH(N238, Campaign!$E$2:$E$100, 0)),
  0
)</f>
        <v>0</v>
      </c>
      <c r="S238">
        <f>IFERROR(
  INDEX(Campaign!$C$2:$C$100, MATCH(O238, Campaign!$E$2:$E$100, 0)),
  0
)</f>
        <v>0</v>
      </c>
      <c r="T238" t="str">
        <f t="shared" si="15"/>
        <v/>
      </c>
      <c r="U238">
        <f t="shared" si="16"/>
        <v>6.7234398994834563E-2</v>
      </c>
      <c r="V238" s="40" t="str">
        <f>IFERROR(
  INDEX(Campaign!$A$2:$A$100, MATCH(M242, Campaign!$E$2:$E$100, 0)),
  ""
)</f>
        <v/>
      </c>
      <c r="W238" t="str">
        <f t="shared" si="17"/>
        <v>Before</v>
      </c>
      <c r="X238" s="19"/>
    </row>
    <row r="239" spans="1:24">
      <c r="A239" s="4" t="s">
        <v>293</v>
      </c>
      <c r="B239" s="4" t="s">
        <v>13</v>
      </c>
      <c r="C239" s="5">
        <v>45489</v>
      </c>
      <c r="D239" s="4" t="s">
        <v>20</v>
      </c>
      <c r="E239" s="4" t="s">
        <v>21</v>
      </c>
      <c r="F239" s="6">
        <v>4725</v>
      </c>
      <c r="G239" s="6">
        <v>400</v>
      </c>
      <c r="H239" s="6">
        <v>362</v>
      </c>
      <c r="I239" s="6">
        <v>75600</v>
      </c>
      <c r="J239" s="6">
        <f t="shared" si="14"/>
        <v>5530</v>
      </c>
      <c r="K239" s="6">
        <v>74927</v>
      </c>
      <c r="L239" s="6">
        <v>43</v>
      </c>
      <c r="M239" s="16" t="s">
        <v>16</v>
      </c>
      <c r="N239" s="17"/>
      <c r="O239" s="17"/>
      <c r="P239" s="4" t="s">
        <v>34</v>
      </c>
      <c r="Q239">
        <f>IFERROR(
  INDEX(Campaign!$C$2:$C$100, MATCH(M239, Campaign!$E$2:$E$100, 0)),
  0
)</f>
        <v>0</v>
      </c>
      <c r="R239" s="25">
        <f>IFERROR(
  INDEX(Campaign!$C$2:$C$100, MATCH(N239, Campaign!$E$2:$E$100, 0)),
  0
)</f>
        <v>0</v>
      </c>
      <c r="S239">
        <f>IFERROR(
  INDEX(Campaign!$C$2:$C$100, MATCH(O239, Campaign!$E$2:$E$100, 0)),
  0
)</f>
        <v>0</v>
      </c>
      <c r="T239" t="str">
        <f t="shared" si="15"/>
        <v/>
      </c>
      <c r="U239">
        <f t="shared" si="16"/>
        <v>7.2579365079365077E-2</v>
      </c>
      <c r="V239" s="40">
        <f>IFERROR(
  INDEX(Campaign!$A$2:$A$100, MATCH(M243, Campaign!$E$2:$E$100, 0)),
  ""
)</f>
        <v>45488</v>
      </c>
      <c r="W239" t="str">
        <f t="shared" si="17"/>
        <v>Before</v>
      </c>
      <c r="X239" s="19"/>
    </row>
    <row r="240" spans="1:24">
      <c r="A240" s="4" t="s">
        <v>294</v>
      </c>
      <c r="B240" s="4" t="s">
        <v>26</v>
      </c>
      <c r="C240" s="5">
        <v>45712</v>
      </c>
      <c r="D240" s="4" t="s">
        <v>20</v>
      </c>
      <c r="E240" s="4" t="s">
        <v>74</v>
      </c>
      <c r="F240" s="6">
        <v>4188</v>
      </c>
      <c r="G240" s="6">
        <v>942</v>
      </c>
      <c r="H240" s="6">
        <v>118</v>
      </c>
      <c r="I240" s="6">
        <v>20940</v>
      </c>
      <c r="J240" s="6">
        <f t="shared" si="14"/>
        <v>5350</v>
      </c>
      <c r="K240" s="6">
        <v>20471</v>
      </c>
      <c r="L240" s="6">
        <v>102</v>
      </c>
      <c r="M240" s="16" t="s">
        <v>16</v>
      </c>
      <c r="N240" s="17"/>
      <c r="O240" s="17"/>
      <c r="P240" s="7"/>
      <c r="Q240">
        <f>IFERROR(
  INDEX(Campaign!$C$2:$C$100, MATCH(M240, Campaign!$E$2:$E$100, 0)),
  0
)</f>
        <v>0</v>
      </c>
      <c r="R240" s="25">
        <f>IFERROR(
  INDEX(Campaign!$C$2:$C$100, MATCH(N240, Campaign!$E$2:$E$100, 0)),
  0
)</f>
        <v>0</v>
      </c>
      <c r="S240">
        <f>IFERROR(
  INDEX(Campaign!$C$2:$C$100, MATCH(O240, Campaign!$E$2:$E$100, 0)),
  0
)</f>
        <v>0</v>
      </c>
      <c r="T240" t="str">
        <f t="shared" si="15"/>
        <v/>
      </c>
      <c r="U240">
        <f t="shared" si="16"/>
        <v>0.25062082139446035</v>
      </c>
      <c r="V240" s="40" t="str">
        <f>IFERROR(
  INDEX(Campaign!$A$2:$A$100, MATCH(M244, Campaign!$E$2:$E$100, 0)),
  ""
)</f>
        <v/>
      </c>
      <c r="W240" t="str">
        <f t="shared" si="17"/>
        <v>Before</v>
      </c>
      <c r="X240" s="19"/>
    </row>
    <row r="241" spans="1:24">
      <c r="A241" s="4" t="s">
        <v>295</v>
      </c>
      <c r="B241" s="4" t="s">
        <v>13</v>
      </c>
      <c r="C241" s="5">
        <v>45530</v>
      </c>
      <c r="D241" s="4" t="s">
        <v>38</v>
      </c>
      <c r="E241" s="4" t="s">
        <v>41</v>
      </c>
      <c r="F241" s="6">
        <v>929</v>
      </c>
      <c r="G241" s="6">
        <v>192</v>
      </c>
      <c r="H241" s="6">
        <v>322</v>
      </c>
      <c r="I241" s="6">
        <v>16722</v>
      </c>
      <c r="J241" s="6">
        <f t="shared" si="14"/>
        <v>1588</v>
      </c>
      <c r="K241" s="6">
        <v>15996</v>
      </c>
      <c r="L241" s="6">
        <v>145</v>
      </c>
      <c r="M241" s="16" t="s">
        <v>33</v>
      </c>
      <c r="N241" s="17" t="s">
        <v>22</v>
      </c>
      <c r="O241" s="17" t="s">
        <v>17</v>
      </c>
      <c r="P241" s="4" t="s">
        <v>28</v>
      </c>
      <c r="Q241">
        <f>IFERROR(
  INDEX(Campaign!$C$2:$C$100, MATCH(M241, Campaign!$E$2:$E$100, 0)),
  0
)</f>
        <v>150000</v>
      </c>
      <c r="R241" s="25">
        <f>IFERROR(
  INDEX(Campaign!$C$2:$C$100, MATCH(N241, Campaign!$E$2:$E$100, 0)),
  0
)</f>
        <v>0</v>
      </c>
      <c r="S241">
        <f>IFERROR(
  INDEX(Campaign!$C$2:$C$100, MATCH(O241, Campaign!$E$2:$E$100, 0)),
  0
)</f>
        <v>200000</v>
      </c>
      <c r="T241">
        <f t="shared" si="15"/>
        <v>4.5371428571428568E-3</v>
      </c>
      <c r="U241">
        <f t="shared" si="16"/>
        <v>8.6293505561535699E-2</v>
      </c>
      <c r="V241" s="40" t="str">
        <f>IFERROR(
  INDEX(Campaign!$A$2:$A$100, MATCH(M245, Campaign!$E$2:$E$100, 0)),
  ""
)</f>
        <v/>
      </c>
      <c r="W241" t="str">
        <f t="shared" si="17"/>
        <v>During</v>
      </c>
      <c r="X241" s="19"/>
    </row>
    <row r="242" spans="1:24">
      <c r="A242" s="4" t="s">
        <v>296</v>
      </c>
      <c r="B242" s="4" t="s">
        <v>37</v>
      </c>
      <c r="C242" s="5">
        <v>45675</v>
      </c>
      <c r="D242" s="4" t="s">
        <v>31</v>
      </c>
      <c r="E242" s="4" t="s">
        <v>55</v>
      </c>
      <c r="F242" s="6">
        <v>4321</v>
      </c>
      <c r="G242" s="6">
        <v>874</v>
      </c>
      <c r="H242" s="6">
        <v>172</v>
      </c>
      <c r="I242" s="6">
        <v>30247</v>
      </c>
      <c r="J242" s="6">
        <f t="shared" si="14"/>
        <v>5489</v>
      </c>
      <c r="K242" s="6">
        <v>29254</v>
      </c>
      <c r="L242" s="6">
        <v>122</v>
      </c>
      <c r="M242" s="16" t="s">
        <v>22</v>
      </c>
      <c r="N242" s="17"/>
      <c r="O242" s="17"/>
      <c r="P242" s="4" t="s">
        <v>34</v>
      </c>
      <c r="Q242">
        <f>IFERROR(
  INDEX(Campaign!$C$2:$C$100, MATCH(M242, Campaign!$E$2:$E$100, 0)),
  0
)</f>
        <v>0</v>
      </c>
      <c r="R242" s="25">
        <f>IFERROR(
  INDEX(Campaign!$C$2:$C$100, MATCH(N242, Campaign!$E$2:$E$100, 0)),
  0
)</f>
        <v>0</v>
      </c>
      <c r="S242">
        <f>IFERROR(
  INDEX(Campaign!$C$2:$C$100, MATCH(O242, Campaign!$E$2:$E$100, 0)),
  0
)</f>
        <v>0</v>
      </c>
      <c r="T242" t="str">
        <f t="shared" si="15"/>
        <v/>
      </c>
      <c r="U242">
        <f t="shared" si="16"/>
        <v>0.17743908486792079</v>
      </c>
      <c r="V242" s="40">
        <f>IFERROR(
  INDEX(Campaign!$A$2:$A$100, MATCH(M246, Campaign!$E$2:$E$100, 0)),
  ""
)</f>
        <v>45488</v>
      </c>
      <c r="W242" t="str">
        <f t="shared" si="17"/>
        <v>Before</v>
      </c>
      <c r="X242" s="19"/>
    </row>
    <row r="243" spans="1:24">
      <c r="A243" s="4" t="s">
        <v>297</v>
      </c>
      <c r="B243" s="4" t="s">
        <v>37</v>
      </c>
      <c r="C243" s="5">
        <v>45480</v>
      </c>
      <c r="D243" s="4" t="s">
        <v>14</v>
      </c>
      <c r="E243" s="4" t="s">
        <v>51</v>
      </c>
      <c r="F243" s="6">
        <v>4767</v>
      </c>
      <c r="G243" s="6">
        <v>190</v>
      </c>
      <c r="H243" s="6">
        <v>340</v>
      </c>
      <c r="I243" s="6">
        <v>28602</v>
      </c>
      <c r="J243" s="6">
        <f t="shared" si="14"/>
        <v>5507</v>
      </c>
      <c r="K243" s="6">
        <v>28044</v>
      </c>
      <c r="L243" s="6">
        <v>210</v>
      </c>
      <c r="M243" s="16" t="s">
        <v>33</v>
      </c>
      <c r="N243" s="17"/>
      <c r="O243" s="17"/>
      <c r="P243" s="4" t="s">
        <v>28</v>
      </c>
      <c r="Q243">
        <f>IFERROR(
  INDEX(Campaign!$C$2:$C$100, MATCH(M243, Campaign!$E$2:$E$100, 0)),
  0
)</f>
        <v>150000</v>
      </c>
      <c r="R243" s="25">
        <f>IFERROR(
  INDEX(Campaign!$C$2:$C$100, MATCH(N243, Campaign!$E$2:$E$100, 0)),
  0
)</f>
        <v>0</v>
      </c>
      <c r="S243">
        <f>IFERROR(
  INDEX(Campaign!$C$2:$C$100, MATCH(O243, Campaign!$E$2:$E$100, 0)),
  0
)</f>
        <v>0</v>
      </c>
      <c r="T243">
        <f t="shared" si="15"/>
        <v>3.6713333333333334E-2</v>
      </c>
      <c r="U243">
        <f t="shared" si="16"/>
        <v>0.18519683938186141</v>
      </c>
      <c r="V243" s="40" t="str">
        <f>IFERROR(
  INDEX(Campaign!$A$2:$A$100, MATCH(M247, Campaign!$E$2:$E$100, 0)),
  ""
)</f>
        <v/>
      </c>
      <c r="W243" t="str">
        <f t="shared" si="17"/>
        <v>Before</v>
      </c>
      <c r="X243" s="19"/>
    </row>
    <row r="244" spans="1:24">
      <c r="A244" s="4" t="s">
        <v>298</v>
      </c>
      <c r="B244" s="4" t="s">
        <v>13</v>
      </c>
      <c r="C244" s="5">
        <v>45722</v>
      </c>
      <c r="D244" s="4" t="s">
        <v>43</v>
      </c>
      <c r="E244" s="4" t="s">
        <v>89</v>
      </c>
      <c r="F244" s="6">
        <v>3592</v>
      </c>
      <c r="G244" s="6">
        <v>911</v>
      </c>
      <c r="H244" s="6">
        <v>375</v>
      </c>
      <c r="I244" s="6">
        <v>50288</v>
      </c>
      <c r="J244" s="6">
        <f t="shared" si="14"/>
        <v>4910</v>
      </c>
      <c r="K244" s="6">
        <v>49490</v>
      </c>
      <c r="L244" s="6">
        <v>32</v>
      </c>
      <c r="M244" s="16" t="s">
        <v>16</v>
      </c>
      <c r="N244" s="17"/>
      <c r="O244" s="17"/>
      <c r="P244" s="4" t="s">
        <v>34</v>
      </c>
      <c r="Q244">
        <f>IFERROR(
  INDEX(Campaign!$C$2:$C$100, MATCH(M244, Campaign!$E$2:$E$100, 0)),
  0
)</f>
        <v>0</v>
      </c>
      <c r="R244" s="25">
        <f>IFERROR(
  INDEX(Campaign!$C$2:$C$100, MATCH(N244, Campaign!$E$2:$E$100, 0)),
  0
)</f>
        <v>0</v>
      </c>
      <c r="S244">
        <f>IFERROR(
  INDEX(Campaign!$C$2:$C$100, MATCH(O244, Campaign!$E$2:$E$100, 0)),
  0
)</f>
        <v>0</v>
      </c>
      <c r="T244" t="str">
        <f t="shared" si="15"/>
        <v/>
      </c>
      <c r="U244">
        <f t="shared" si="16"/>
        <v>9.7001272669424113E-2</v>
      </c>
      <c r="V244" s="40" t="str">
        <f>IFERROR(
  INDEX(Campaign!$A$2:$A$100, MATCH(M248, Campaign!$E$2:$E$100, 0)),
  ""
)</f>
        <v/>
      </c>
      <c r="W244" t="str">
        <f t="shared" si="17"/>
        <v>Before</v>
      </c>
      <c r="X244" s="19"/>
    </row>
    <row r="245" spans="1:24">
      <c r="A245" s="4" t="s">
        <v>299</v>
      </c>
      <c r="B245" s="4" t="s">
        <v>26</v>
      </c>
      <c r="C245" s="5">
        <v>45590</v>
      </c>
      <c r="D245" s="4" t="s">
        <v>57</v>
      </c>
      <c r="E245" s="4" t="s">
        <v>137</v>
      </c>
      <c r="F245" s="6">
        <v>4661</v>
      </c>
      <c r="G245" s="6">
        <v>935</v>
      </c>
      <c r="H245" s="6">
        <v>433</v>
      </c>
      <c r="I245" s="6">
        <v>23305</v>
      </c>
      <c r="J245" s="6">
        <f t="shared" si="14"/>
        <v>6092</v>
      </c>
      <c r="K245" s="6">
        <v>22583</v>
      </c>
      <c r="L245" s="6">
        <v>63</v>
      </c>
      <c r="M245" s="16" t="s">
        <v>16</v>
      </c>
      <c r="N245" s="17"/>
      <c r="O245" s="17"/>
      <c r="P245" s="4" t="s">
        <v>28</v>
      </c>
      <c r="Q245">
        <f>IFERROR(
  INDEX(Campaign!$C$2:$C$100, MATCH(M245, Campaign!$E$2:$E$100, 0)),
  0
)</f>
        <v>0</v>
      </c>
      <c r="R245" s="25">
        <f>IFERROR(
  INDEX(Campaign!$C$2:$C$100, MATCH(N245, Campaign!$E$2:$E$100, 0)),
  0
)</f>
        <v>0</v>
      </c>
      <c r="S245">
        <f>IFERROR(
  INDEX(Campaign!$C$2:$C$100, MATCH(O245, Campaign!$E$2:$E$100, 0)),
  0
)</f>
        <v>0</v>
      </c>
      <c r="T245" t="str">
        <f t="shared" si="15"/>
        <v/>
      </c>
      <c r="U245">
        <f t="shared" si="16"/>
        <v>0.25869984981763572</v>
      </c>
      <c r="V245" s="40">
        <f>IFERROR(
  INDEX(Campaign!$A$2:$A$100, MATCH(M249, Campaign!$E$2:$E$100, 0)),
  ""
)</f>
        <v>45488</v>
      </c>
      <c r="W245" t="str">
        <f t="shared" si="17"/>
        <v>Before</v>
      </c>
      <c r="X245" s="19"/>
    </row>
    <row r="246" spans="1:24">
      <c r="A246" s="4" t="s">
        <v>300</v>
      </c>
      <c r="B246" s="4" t="s">
        <v>37</v>
      </c>
      <c r="C246" s="5">
        <v>45669</v>
      </c>
      <c r="D246" s="4" t="s">
        <v>14</v>
      </c>
      <c r="E246" s="4" t="s">
        <v>51</v>
      </c>
      <c r="F246" s="6">
        <v>4134</v>
      </c>
      <c r="G246" s="6">
        <v>824</v>
      </c>
      <c r="H246" s="6">
        <v>99</v>
      </c>
      <c r="I246" s="6">
        <v>41340</v>
      </c>
      <c r="J246" s="6">
        <f t="shared" si="14"/>
        <v>5234</v>
      </c>
      <c r="K246" s="6">
        <v>41050</v>
      </c>
      <c r="L246" s="6">
        <v>177</v>
      </c>
      <c r="M246" s="16" t="s">
        <v>33</v>
      </c>
      <c r="N246" s="17"/>
      <c r="O246" s="17"/>
      <c r="P246" s="4" t="s">
        <v>18</v>
      </c>
      <c r="Q246">
        <f>IFERROR(
  INDEX(Campaign!$C$2:$C$100, MATCH(M246, Campaign!$E$2:$E$100, 0)),
  0
)</f>
        <v>150000</v>
      </c>
      <c r="R246" s="25">
        <f>IFERROR(
  INDEX(Campaign!$C$2:$C$100, MATCH(N246, Campaign!$E$2:$E$100, 0)),
  0
)</f>
        <v>0</v>
      </c>
      <c r="S246">
        <f>IFERROR(
  INDEX(Campaign!$C$2:$C$100, MATCH(O246, Campaign!$E$2:$E$100, 0)),
  0
)</f>
        <v>0</v>
      </c>
      <c r="T246">
        <f t="shared" si="15"/>
        <v>3.4893333333333332E-2</v>
      </c>
      <c r="U246">
        <f t="shared" si="16"/>
        <v>0.12232704402515723</v>
      </c>
      <c r="V246" s="40">
        <f>IFERROR(
  INDEX(Campaign!$A$2:$A$100, MATCH(M250, Campaign!$E$2:$E$100, 0)),
  ""
)</f>
        <v>45488</v>
      </c>
      <c r="W246" t="str">
        <f t="shared" si="17"/>
        <v>Before</v>
      </c>
      <c r="X246" s="19"/>
    </row>
    <row r="247" spans="1:24">
      <c r="A247" s="4" t="s">
        <v>301</v>
      </c>
      <c r="B247" s="4" t="s">
        <v>37</v>
      </c>
      <c r="C247" s="5">
        <v>45576</v>
      </c>
      <c r="D247" s="4" t="s">
        <v>43</v>
      </c>
      <c r="E247" s="4" t="s">
        <v>48</v>
      </c>
      <c r="F247" s="6">
        <v>400</v>
      </c>
      <c r="G247" s="6">
        <v>680</v>
      </c>
      <c r="H247" s="6">
        <v>434</v>
      </c>
      <c r="I247" s="6">
        <v>6400</v>
      </c>
      <c r="J247" s="6">
        <f t="shared" si="14"/>
        <v>1674</v>
      </c>
      <c r="K247" s="6">
        <v>5472</v>
      </c>
      <c r="L247" s="6">
        <v>160</v>
      </c>
      <c r="M247" s="16" t="s">
        <v>16</v>
      </c>
      <c r="N247" s="17"/>
      <c r="O247" s="17"/>
      <c r="P247" s="4" t="s">
        <v>24</v>
      </c>
      <c r="Q247">
        <f>IFERROR(
  INDEX(Campaign!$C$2:$C$100, MATCH(M247, Campaign!$E$2:$E$100, 0)),
  0
)</f>
        <v>0</v>
      </c>
      <c r="R247" s="25">
        <f>IFERROR(
  INDEX(Campaign!$C$2:$C$100, MATCH(N247, Campaign!$E$2:$E$100, 0)),
  0
)</f>
        <v>0</v>
      </c>
      <c r="S247">
        <f>IFERROR(
  INDEX(Campaign!$C$2:$C$100, MATCH(O247, Campaign!$E$2:$E$100, 0)),
  0
)</f>
        <v>0</v>
      </c>
      <c r="T247" t="str">
        <f t="shared" si="15"/>
        <v/>
      </c>
      <c r="U247">
        <f t="shared" si="16"/>
        <v>0.23656250000000001</v>
      </c>
      <c r="V247" s="40" t="str">
        <f>IFERROR(
  INDEX(Campaign!$A$2:$A$100, MATCH(M251, Campaign!$E$2:$E$100, 0)),
  ""
)</f>
        <v/>
      </c>
      <c r="W247" t="str">
        <f t="shared" si="17"/>
        <v>Before</v>
      </c>
      <c r="X247" s="19"/>
    </row>
    <row r="248" spans="1:24">
      <c r="A248" s="4" t="s">
        <v>302</v>
      </c>
      <c r="B248" s="4" t="s">
        <v>37</v>
      </c>
      <c r="C248" s="5">
        <v>45531</v>
      </c>
      <c r="D248" s="4" t="s">
        <v>14</v>
      </c>
      <c r="E248" s="4" t="s">
        <v>51</v>
      </c>
      <c r="F248" s="6">
        <v>3960</v>
      </c>
      <c r="G248" s="6">
        <v>266</v>
      </c>
      <c r="H248" s="6">
        <v>8</v>
      </c>
      <c r="I248" s="6">
        <v>35640</v>
      </c>
      <c r="J248" s="6">
        <f t="shared" si="14"/>
        <v>4442</v>
      </c>
      <c r="K248" s="6">
        <v>34850</v>
      </c>
      <c r="L248" s="6">
        <v>208</v>
      </c>
      <c r="M248" s="16" t="s">
        <v>16</v>
      </c>
      <c r="N248" s="17" t="s">
        <v>33</v>
      </c>
      <c r="O248" s="17" t="s">
        <v>23</v>
      </c>
      <c r="P248" s="7"/>
      <c r="Q248">
        <f>IFERROR(
  INDEX(Campaign!$C$2:$C$100, MATCH(M248, Campaign!$E$2:$E$100, 0)),
  0
)</f>
        <v>0</v>
      </c>
      <c r="R248" s="25">
        <f>IFERROR(
  INDEX(Campaign!$C$2:$C$100, MATCH(N248, Campaign!$E$2:$E$100, 0)),
  0
)</f>
        <v>150000</v>
      </c>
      <c r="S248">
        <f>IFERROR(
  INDEX(Campaign!$C$2:$C$100, MATCH(O248, Campaign!$E$2:$E$100, 0)),
  0
)</f>
        <v>180000</v>
      </c>
      <c r="T248">
        <f t="shared" si="15"/>
        <v>1.346060606060606E-2</v>
      </c>
      <c r="U248">
        <f t="shared" si="16"/>
        <v>0.11879910213243547</v>
      </c>
      <c r="V248" s="40" t="str">
        <f>IFERROR(
  INDEX(Campaign!$A$2:$A$100, MATCH(M252, Campaign!$E$2:$E$100, 0)),
  ""
)</f>
        <v/>
      </c>
      <c r="W248" t="str">
        <f t="shared" si="17"/>
        <v>During</v>
      </c>
      <c r="X248" s="19"/>
    </row>
    <row r="249" spans="1:24">
      <c r="A249" s="4" t="s">
        <v>303</v>
      </c>
      <c r="B249" s="4" t="s">
        <v>37</v>
      </c>
      <c r="C249" s="5">
        <v>45690</v>
      </c>
      <c r="D249" s="4" t="s">
        <v>31</v>
      </c>
      <c r="E249" s="4" t="s">
        <v>55</v>
      </c>
      <c r="F249" s="6">
        <v>886</v>
      </c>
      <c r="G249" s="6">
        <v>126</v>
      </c>
      <c r="H249" s="6">
        <v>153</v>
      </c>
      <c r="I249" s="6">
        <v>4430</v>
      </c>
      <c r="J249" s="6">
        <f t="shared" si="14"/>
        <v>1377</v>
      </c>
      <c r="K249" s="6">
        <v>4037</v>
      </c>
      <c r="L249" s="6">
        <v>212</v>
      </c>
      <c r="M249" s="16" t="s">
        <v>33</v>
      </c>
      <c r="N249" s="17"/>
      <c r="O249" s="17"/>
      <c r="P249" s="7"/>
      <c r="Q249">
        <f>IFERROR(
  INDEX(Campaign!$C$2:$C$100, MATCH(M249, Campaign!$E$2:$E$100, 0)),
  0
)</f>
        <v>150000</v>
      </c>
      <c r="R249" s="25">
        <f>IFERROR(
  INDEX(Campaign!$C$2:$C$100, MATCH(N249, Campaign!$E$2:$E$100, 0)),
  0
)</f>
        <v>0</v>
      </c>
      <c r="S249">
        <f>IFERROR(
  INDEX(Campaign!$C$2:$C$100, MATCH(O249, Campaign!$E$2:$E$100, 0)),
  0
)</f>
        <v>0</v>
      </c>
      <c r="T249">
        <f t="shared" si="15"/>
        <v>9.1800000000000007E-3</v>
      </c>
      <c r="U249">
        <f t="shared" si="16"/>
        <v>0.26297968397291194</v>
      </c>
      <c r="V249" s="40" t="str">
        <f>IFERROR(
  INDEX(Campaign!$A$2:$A$100, MATCH(M253, Campaign!$E$2:$E$100, 0)),
  ""
)</f>
        <v/>
      </c>
      <c r="W249" t="str">
        <f t="shared" si="17"/>
        <v>Before</v>
      </c>
      <c r="X249" s="19"/>
    </row>
    <row r="250" spans="1:24">
      <c r="A250" s="4" t="s">
        <v>304</v>
      </c>
      <c r="B250" s="4" t="s">
        <v>13</v>
      </c>
      <c r="C250" s="5">
        <v>45491</v>
      </c>
      <c r="D250" s="4" t="s">
        <v>43</v>
      </c>
      <c r="E250" s="4" t="s">
        <v>89</v>
      </c>
      <c r="F250" s="6">
        <v>827</v>
      </c>
      <c r="G250" s="6">
        <v>77</v>
      </c>
      <c r="H250" s="6">
        <v>402</v>
      </c>
      <c r="I250" s="6">
        <v>14886</v>
      </c>
      <c r="J250" s="6">
        <f t="shared" si="14"/>
        <v>1560</v>
      </c>
      <c r="K250" s="6">
        <v>14129</v>
      </c>
      <c r="L250" s="6">
        <v>254</v>
      </c>
      <c r="M250" s="16" t="s">
        <v>33</v>
      </c>
      <c r="N250" s="17"/>
      <c r="O250" s="17"/>
      <c r="P250" s="4" t="s">
        <v>24</v>
      </c>
      <c r="Q250">
        <f>IFERROR(
  INDEX(Campaign!$C$2:$C$100, MATCH(M250, Campaign!$E$2:$E$100, 0)),
  0
)</f>
        <v>150000</v>
      </c>
      <c r="R250" s="25">
        <f>IFERROR(
  INDEX(Campaign!$C$2:$C$100, MATCH(N250, Campaign!$E$2:$E$100, 0)),
  0
)</f>
        <v>0</v>
      </c>
      <c r="S250">
        <f>IFERROR(
  INDEX(Campaign!$C$2:$C$100, MATCH(O250, Campaign!$E$2:$E$100, 0)),
  0
)</f>
        <v>0</v>
      </c>
      <c r="T250">
        <f t="shared" si="15"/>
        <v>1.04E-2</v>
      </c>
      <c r="U250">
        <f t="shared" si="16"/>
        <v>8.7733440816874911E-2</v>
      </c>
      <c r="V250" s="40">
        <f>IFERROR(
  INDEX(Campaign!$A$2:$A$100, MATCH(M254, Campaign!$E$2:$E$100, 0)),
  ""
)</f>
        <v>45488</v>
      </c>
      <c r="W250" t="str">
        <f t="shared" si="17"/>
        <v>Before</v>
      </c>
      <c r="X250" s="19"/>
    </row>
    <row r="251" spans="1:24">
      <c r="A251" s="4" t="s">
        <v>305</v>
      </c>
      <c r="B251" s="4" t="s">
        <v>37</v>
      </c>
      <c r="C251" s="5">
        <v>45465</v>
      </c>
      <c r="D251" s="4" t="s">
        <v>14</v>
      </c>
      <c r="E251" s="4" t="s">
        <v>51</v>
      </c>
      <c r="F251" s="6">
        <v>3813</v>
      </c>
      <c r="G251" s="6">
        <v>935</v>
      </c>
      <c r="H251" s="6">
        <v>274</v>
      </c>
      <c r="I251" s="6">
        <v>68634</v>
      </c>
      <c r="J251" s="6">
        <f t="shared" si="14"/>
        <v>5273</v>
      </c>
      <c r="K251" s="6">
        <v>68488</v>
      </c>
      <c r="L251" s="6">
        <v>251</v>
      </c>
      <c r="M251" s="16" t="s">
        <v>16</v>
      </c>
      <c r="N251" s="17"/>
      <c r="O251" s="17"/>
      <c r="P251" s="7"/>
      <c r="Q251">
        <f>IFERROR(
  INDEX(Campaign!$C$2:$C$100, MATCH(M251, Campaign!$E$2:$E$100, 0)),
  0
)</f>
        <v>0</v>
      </c>
      <c r="R251" s="25">
        <f>IFERROR(
  INDEX(Campaign!$C$2:$C$100, MATCH(N251, Campaign!$E$2:$E$100, 0)),
  0
)</f>
        <v>0</v>
      </c>
      <c r="S251">
        <f>IFERROR(
  INDEX(Campaign!$C$2:$C$100, MATCH(O251, Campaign!$E$2:$E$100, 0)),
  0
)</f>
        <v>0</v>
      </c>
      <c r="T251" t="str">
        <f t="shared" si="15"/>
        <v/>
      </c>
      <c r="U251">
        <f t="shared" si="16"/>
        <v>7.3170731707317069E-2</v>
      </c>
      <c r="V251" s="40" t="str">
        <f>IFERROR(
  INDEX(Campaign!$A$2:$A$100, MATCH(M255, Campaign!$E$2:$E$100, 0)),
  ""
)</f>
        <v/>
      </c>
      <c r="W251" t="str">
        <f t="shared" si="17"/>
        <v>Before</v>
      </c>
      <c r="X251" s="19"/>
    </row>
    <row r="252" spans="1:24">
      <c r="A252" s="4" t="s">
        <v>306</v>
      </c>
      <c r="B252" s="4" t="s">
        <v>30</v>
      </c>
      <c r="C252" s="5">
        <v>45743</v>
      </c>
      <c r="D252" s="4" t="s">
        <v>38</v>
      </c>
      <c r="E252" s="4" t="s">
        <v>66</v>
      </c>
      <c r="F252" s="6">
        <v>1377</v>
      </c>
      <c r="G252" s="6">
        <v>796</v>
      </c>
      <c r="H252" s="6">
        <v>387</v>
      </c>
      <c r="I252" s="6">
        <v>22032</v>
      </c>
      <c r="J252" s="6">
        <f t="shared" si="14"/>
        <v>2749</v>
      </c>
      <c r="K252" s="6">
        <v>21869</v>
      </c>
      <c r="L252" s="6">
        <v>189</v>
      </c>
      <c r="M252" s="16" t="s">
        <v>16</v>
      </c>
      <c r="N252" s="17"/>
      <c r="O252" s="17"/>
      <c r="P252" s="7"/>
      <c r="Q252">
        <f>IFERROR(
  INDEX(Campaign!$C$2:$C$100, MATCH(M252, Campaign!$E$2:$E$100, 0)),
  0
)</f>
        <v>0</v>
      </c>
      <c r="R252" s="25">
        <f>IFERROR(
  INDEX(Campaign!$C$2:$C$100, MATCH(N252, Campaign!$E$2:$E$100, 0)),
  0
)</f>
        <v>0</v>
      </c>
      <c r="S252">
        <f>IFERROR(
  INDEX(Campaign!$C$2:$C$100, MATCH(O252, Campaign!$E$2:$E$100, 0)),
  0
)</f>
        <v>0</v>
      </c>
      <c r="T252" t="str">
        <f t="shared" si="15"/>
        <v/>
      </c>
      <c r="U252">
        <f t="shared" si="16"/>
        <v>0.11619462599854757</v>
      </c>
      <c r="V252" s="40" t="str">
        <f>IFERROR(
  INDEX(Campaign!$A$2:$A$100, MATCH(M256, Campaign!$E$2:$E$100, 0)),
  ""
)</f>
        <v/>
      </c>
      <c r="W252" t="str">
        <f t="shared" si="17"/>
        <v>Before</v>
      </c>
      <c r="X252" s="19"/>
    </row>
    <row r="253" spans="1:24">
      <c r="A253" s="4" t="s">
        <v>307</v>
      </c>
      <c r="B253" s="4" t="s">
        <v>37</v>
      </c>
      <c r="C253" s="5">
        <v>45775</v>
      </c>
      <c r="D253" s="4" t="s">
        <v>38</v>
      </c>
      <c r="E253" s="4" t="s">
        <v>39</v>
      </c>
      <c r="F253" s="6">
        <v>2089</v>
      </c>
      <c r="G253" s="6">
        <v>476</v>
      </c>
      <c r="H253" s="6">
        <v>69</v>
      </c>
      <c r="I253" s="6">
        <v>16712</v>
      </c>
      <c r="J253" s="6">
        <f t="shared" si="14"/>
        <v>2698</v>
      </c>
      <c r="K253" s="6">
        <v>16309</v>
      </c>
      <c r="L253" s="6">
        <v>64</v>
      </c>
      <c r="M253" s="16" t="s">
        <v>16</v>
      </c>
      <c r="N253" s="17"/>
      <c r="O253" s="17"/>
      <c r="P253" s="4" t="s">
        <v>28</v>
      </c>
      <c r="Q253">
        <f>IFERROR(
  INDEX(Campaign!$C$2:$C$100, MATCH(M253, Campaign!$E$2:$E$100, 0)),
  0
)</f>
        <v>0</v>
      </c>
      <c r="R253" s="25">
        <f>IFERROR(
  INDEX(Campaign!$C$2:$C$100, MATCH(N253, Campaign!$E$2:$E$100, 0)),
  0
)</f>
        <v>0</v>
      </c>
      <c r="S253">
        <f>IFERROR(
  INDEX(Campaign!$C$2:$C$100, MATCH(O253, Campaign!$E$2:$E$100, 0)),
  0
)</f>
        <v>0</v>
      </c>
      <c r="T253" t="str">
        <f t="shared" si="15"/>
        <v/>
      </c>
      <c r="U253">
        <f t="shared" si="16"/>
        <v>0.15761129727142173</v>
      </c>
      <c r="V253" s="40">
        <f>IFERROR(
  INDEX(Campaign!$A$2:$A$100, MATCH(M257, Campaign!$E$2:$E$100, 0)),
  ""
)</f>
        <v>45488</v>
      </c>
      <c r="W253" t="str">
        <f t="shared" si="17"/>
        <v>Before</v>
      </c>
      <c r="X253" s="19"/>
    </row>
    <row r="254" spans="1:24">
      <c r="A254" s="4" t="s">
        <v>308</v>
      </c>
      <c r="B254" s="4" t="s">
        <v>13</v>
      </c>
      <c r="C254" s="5">
        <v>45507</v>
      </c>
      <c r="D254" s="4" t="s">
        <v>14</v>
      </c>
      <c r="E254" s="4" t="s">
        <v>15</v>
      </c>
      <c r="F254" s="6">
        <v>3791</v>
      </c>
      <c r="G254" s="6">
        <v>593</v>
      </c>
      <c r="H254" s="6">
        <v>228</v>
      </c>
      <c r="I254" s="6">
        <v>53074</v>
      </c>
      <c r="J254" s="6">
        <f t="shared" si="14"/>
        <v>4817</v>
      </c>
      <c r="K254" s="6">
        <v>52613</v>
      </c>
      <c r="L254" s="6">
        <v>205</v>
      </c>
      <c r="M254" s="16" t="s">
        <v>33</v>
      </c>
      <c r="N254" s="17"/>
      <c r="O254" s="17"/>
      <c r="P254" s="7"/>
      <c r="Q254">
        <f>IFERROR(
  INDEX(Campaign!$C$2:$C$100, MATCH(M254, Campaign!$E$2:$E$100, 0)),
  0
)</f>
        <v>150000</v>
      </c>
      <c r="R254" s="25">
        <f>IFERROR(
  INDEX(Campaign!$C$2:$C$100, MATCH(N254, Campaign!$E$2:$E$100, 0)),
  0
)</f>
        <v>0</v>
      </c>
      <c r="S254">
        <f>IFERROR(
  INDEX(Campaign!$C$2:$C$100, MATCH(O254, Campaign!$E$2:$E$100, 0)),
  0
)</f>
        <v>0</v>
      </c>
      <c r="T254">
        <f t="shared" si="15"/>
        <v>3.2113333333333334E-2</v>
      </c>
      <c r="U254">
        <f t="shared" si="16"/>
        <v>8.6897539284772202E-2</v>
      </c>
      <c r="V254" s="40">
        <f>IFERROR(
  INDEX(Campaign!$A$2:$A$100, MATCH(M258, Campaign!$E$2:$E$100, 0)),
  ""
)</f>
        <v>45488</v>
      </c>
      <c r="W254" t="str">
        <f t="shared" si="17"/>
        <v>Before</v>
      </c>
      <c r="X254" s="19"/>
    </row>
    <row r="255" spans="1:24">
      <c r="A255" s="4" t="s">
        <v>309</v>
      </c>
      <c r="B255" s="4" t="s">
        <v>13</v>
      </c>
      <c r="C255" s="5">
        <v>45671</v>
      </c>
      <c r="D255" s="4" t="s">
        <v>43</v>
      </c>
      <c r="E255" s="4" t="s">
        <v>89</v>
      </c>
      <c r="F255" s="6">
        <v>2692</v>
      </c>
      <c r="G255" s="6">
        <v>115</v>
      </c>
      <c r="H255" s="6">
        <v>64</v>
      </c>
      <c r="I255" s="6">
        <v>21536</v>
      </c>
      <c r="J255" s="6">
        <f t="shared" si="14"/>
        <v>3095</v>
      </c>
      <c r="K255" s="6">
        <v>21120</v>
      </c>
      <c r="L255" s="6">
        <v>224</v>
      </c>
      <c r="M255" s="16" t="s">
        <v>16</v>
      </c>
      <c r="N255" s="17"/>
      <c r="O255" s="17"/>
      <c r="P255" s="4" t="s">
        <v>24</v>
      </c>
      <c r="Q255">
        <f>IFERROR(
  INDEX(Campaign!$C$2:$C$100, MATCH(M255, Campaign!$E$2:$E$100, 0)),
  0
)</f>
        <v>0</v>
      </c>
      <c r="R255" s="25">
        <f>IFERROR(
  INDEX(Campaign!$C$2:$C$100, MATCH(N255, Campaign!$E$2:$E$100, 0)),
  0
)</f>
        <v>0</v>
      </c>
      <c r="S255">
        <f>IFERROR(
  INDEX(Campaign!$C$2:$C$100, MATCH(O255, Campaign!$E$2:$E$100, 0)),
  0
)</f>
        <v>0</v>
      </c>
      <c r="T255" t="str">
        <f t="shared" si="15"/>
        <v/>
      </c>
      <c r="U255">
        <f t="shared" si="16"/>
        <v>0.13331166419019316</v>
      </c>
      <c r="V255" s="40">
        <f>IFERROR(
  INDEX(Campaign!$A$2:$A$100, MATCH(M259, Campaign!$E$2:$E$100, 0)),
  ""
)</f>
        <v>45488</v>
      </c>
      <c r="W255" t="str">
        <f t="shared" si="17"/>
        <v>Before</v>
      </c>
      <c r="X255" s="19"/>
    </row>
    <row r="256" spans="1:24">
      <c r="A256" s="4" t="s">
        <v>310</v>
      </c>
      <c r="B256" s="4" t="s">
        <v>37</v>
      </c>
      <c r="C256" s="5">
        <v>45750</v>
      </c>
      <c r="D256" s="4" t="s">
        <v>31</v>
      </c>
      <c r="E256" s="4" t="s">
        <v>55</v>
      </c>
      <c r="F256" s="6">
        <v>3767</v>
      </c>
      <c r="G256" s="6">
        <v>514</v>
      </c>
      <c r="H256" s="6">
        <v>238</v>
      </c>
      <c r="I256" s="6">
        <v>37670</v>
      </c>
      <c r="J256" s="6">
        <f t="shared" si="14"/>
        <v>4745</v>
      </c>
      <c r="K256" s="6">
        <v>36807</v>
      </c>
      <c r="L256" s="6">
        <v>226</v>
      </c>
      <c r="M256" s="16" t="s">
        <v>16</v>
      </c>
      <c r="N256" s="17"/>
      <c r="O256" s="17"/>
      <c r="P256" s="4" t="s">
        <v>34</v>
      </c>
      <c r="Q256">
        <f>IFERROR(
  INDEX(Campaign!$C$2:$C$100, MATCH(M256, Campaign!$E$2:$E$100, 0)),
  0
)</f>
        <v>0</v>
      </c>
      <c r="R256" s="25">
        <f>IFERROR(
  INDEX(Campaign!$C$2:$C$100, MATCH(N256, Campaign!$E$2:$E$100, 0)),
  0
)</f>
        <v>0</v>
      </c>
      <c r="S256">
        <f>IFERROR(
  INDEX(Campaign!$C$2:$C$100, MATCH(O256, Campaign!$E$2:$E$100, 0)),
  0
)</f>
        <v>0</v>
      </c>
      <c r="T256" t="str">
        <f t="shared" si="15"/>
        <v/>
      </c>
      <c r="U256">
        <f t="shared" si="16"/>
        <v>0.11996283514733209</v>
      </c>
      <c r="V256" s="40" t="str">
        <f>IFERROR(
  INDEX(Campaign!$A$2:$A$100, MATCH(M260, Campaign!$E$2:$E$100, 0)),
  ""
)</f>
        <v/>
      </c>
      <c r="W256" t="str">
        <f t="shared" si="17"/>
        <v>Before</v>
      </c>
      <c r="X256" s="19"/>
    </row>
    <row r="257" spans="1:24">
      <c r="A257" s="4" t="s">
        <v>311</v>
      </c>
      <c r="B257" s="4" t="s">
        <v>26</v>
      </c>
      <c r="C257" s="5">
        <v>45553</v>
      </c>
      <c r="D257" s="4" t="s">
        <v>38</v>
      </c>
      <c r="E257" s="4" t="s">
        <v>53</v>
      </c>
      <c r="F257" s="6">
        <v>2143</v>
      </c>
      <c r="G257" s="6">
        <v>12</v>
      </c>
      <c r="H257" s="6">
        <v>204</v>
      </c>
      <c r="I257" s="6">
        <v>40717</v>
      </c>
      <c r="J257" s="6">
        <f t="shared" si="14"/>
        <v>2607</v>
      </c>
      <c r="K257" s="6">
        <v>40125</v>
      </c>
      <c r="L257" s="6">
        <v>248</v>
      </c>
      <c r="M257" s="16" t="s">
        <v>33</v>
      </c>
      <c r="N257" s="17"/>
      <c r="O257" s="17"/>
      <c r="P257" s="4" t="s">
        <v>24</v>
      </c>
      <c r="Q257">
        <f>IFERROR(
  INDEX(Campaign!$C$2:$C$100, MATCH(M257, Campaign!$E$2:$E$100, 0)),
  0
)</f>
        <v>150000</v>
      </c>
      <c r="R257" s="25">
        <f>IFERROR(
  INDEX(Campaign!$C$2:$C$100, MATCH(N257, Campaign!$E$2:$E$100, 0)),
  0
)</f>
        <v>0</v>
      </c>
      <c r="S257">
        <f>IFERROR(
  INDEX(Campaign!$C$2:$C$100, MATCH(O257, Campaign!$E$2:$E$100, 0)),
  0
)</f>
        <v>0</v>
      </c>
      <c r="T257">
        <f t="shared" si="15"/>
        <v>1.738E-2</v>
      </c>
      <c r="U257">
        <f t="shared" si="16"/>
        <v>5.7936488444630008E-2</v>
      </c>
      <c r="V257" s="40" t="str">
        <f>IFERROR(
  INDEX(Campaign!$A$2:$A$100, MATCH(M261, Campaign!$E$2:$E$100, 0)),
  ""
)</f>
        <v/>
      </c>
      <c r="W257" t="str">
        <f t="shared" si="17"/>
        <v>Before</v>
      </c>
      <c r="X257" s="19"/>
    </row>
    <row r="258" spans="1:24">
      <c r="A258" s="4" t="s">
        <v>312</v>
      </c>
      <c r="B258" s="4" t="s">
        <v>37</v>
      </c>
      <c r="C258" s="5">
        <v>45753</v>
      </c>
      <c r="D258" s="4" t="s">
        <v>43</v>
      </c>
      <c r="E258" s="4" t="s">
        <v>48</v>
      </c>
      <c r="F258" s="6">
        <v>3090</v>
      </c>
      <c r="G258" s="6">
        <v>697</v>
      </c>
      <c r="H258" s="6">
        <v>164</v>
      </c>
      <c r="I258" s="6">
        <v>49440</v>
      </c>
      <c r="J258" s="6">
        <f t="shared" si="14"/>
        <v>3976</v>
      </c>
      <c r="K258" s="6">
        <v>48524</v>
      </c>
      <c r="L258" s="6">
        <v>25</v>
      </c>
      <c r="M258" s="16" t="s">
        <v>33</v>
      </c>
      <c r="N258" s="17" t="s">
        <v>33</v>
      </c>
      <c r="O258" s="17" t="s">
        <v>23</v>
      </c>
      <c r="P258" s="4" t="s">
        <v>24</v>
      </c>
      <c r="Q258">
        <f>IFERROR(
  INDEX(Campaign!$C$2:$C$100, MATCH(M258, Campaign!$E$2:$E$100, 0)),
  0
)</f>
        <v>150000</v>
      </c>
      <c r="R258" s="25">
        <f>IFERROR(
  INDEX(Campaign!$C$2:$C$100, MATCH(N258, Campaign!$E$2:$E$100, 0)),
  0
)</f>
        <v>150000</v>
      </c>
      <c r="S258">
        <f>IFERROR(
  INDEX(Campaign!$C$2:$C$100, MATCH(O258, Campaign!$E$2:$E$100, 0)),
  0
)</f>
        <v>180000</v>
      </c>
      <c r="T258">
        <f t="shared" si="15"/>
        <v>8.2833333333333335E-3</v>
      </c>
      <c r="U258">
        <f t="shared" si="16"/>
        <v>7.9915048543689318E-2</v>
      </c>
      <c r="V258" s="40">
        <f>IFERROR(
  INDEX(Campaign!$A$2:$A$100, MATCH(M262, Campaign!$E$2:$E$100, 0)),
  ""
)</f>
        <v>45488</v>
      </c>
      <c r="W258" t="str">
        <f t="shared" si="17"/>
        <v>During</v>
      </c>
      <c r="X258" s="19"/>
    </row>
    <row r="259" spans="1:24">
      <c r="A259" s="4" t="s">
        <v>313</v>
      </c>
      <c r="B259" s="4" t="s">
        <v>30</v>
      </c>
      <c r="C259" s="5">
        <v>45509</v>
      </c>
      <c r="D259" s="4" t="s">
        <v>31</v>
      </c>
      <c r="E259" s="4" t="s">
        <v>32</v>
      </c>
      <c r="F259" s="6">
        <v>3601</v>
      </c>
      <c r="G259" s="6">
        <v>695</v>
      </c>
      <c r="H259" s="6">
        <v>75</v>
      </c>
      <c r="I259" s="6">
        <v>21606</v>
      </c>
      <c r="J259" s="6">
        <f t="shared" ref="J259:J301" si="18">F259+G259+H259+L259</f>
        <v>4543</v>
      </c>
      <c r="K259" s="6">
        <v>21454</v>
      </c>
      <c r="L259" s="6">
        <v>172</v>
      </c>
      <c r="M259" s="16" t="s">
        <v>33</v>
      </c>
      <c r="N259" s="17"/>
      <c r="O259" s="17"/>
      <c r="P259" s="4" t="s">
        <v>24</v>
      </c>
      <c r="Q259">
        <f>IFERROR(
  INDEX(Campaign!$C$2:$C$100, MATCH(M259, Campaign!$E$2:$E$100, 0)),
  0
)</f>
        <v>150000</v>
      </c>
      <c r="R259" s="25">
        <f>IFERROR(
  INDEX(Campaign!$C$2:$C$100, MATCH(N259, Campaign!$E$2:$E$100, 0)),
  0
)</f>
        <v>0</v>
      </c>
      <c r="S259">
        <f>IFERROR(
  INDEX(Campaign!$C$2:$C$100, MATCH(O259, Campaign!$E$2:$E$100, 0)),
  0
)</f>
        <v>0</v>
      </c>
      <c r="T259">
        <f t="shared" ref="T259:T301" si="19">IF((Q259+R259+S259)=0, "", J259/(Q259+R259+S259))</f>
        <v>3.0286666666666667E-2</v>
      </c>
      <c r="U259">
        <f t="shared" ref="U259:U301" si="20">(F259+H259+G259)/I259</f>
        <v>0.2023049153013052</v>
      </c>
      <c r="V259" s="40" t="str">
        <f>IFERROR(
  INDEX(Campaign!$A$2:$A$100, MATCH(M263, Campaign!$E$2:$E$100, 0)),
  ""
)</f>
        <v/>
      </c>
      <c r="W259" t="str">
        <f t="shared" ref="W259:W301" si="21">IF(TRIM(O259)="","Before", "During")</f>
        <v>Before</v>
      </c>
      <c r="X259" s="19"/>
    </row>
    <row r="260" spans="1:24">
      <c r="A260" s="4" t="s">
        <v>314</v>
      </c>
      <c r="B260" s="4" t="s">
        <v>37</v>
      </c>
      <c r="C260" s="5">
        <v>45698</v>
      </c>
      <c r="D260" s="4" t="s">
        <v>20</v>
      </c>
      <c r="E260" s="4" t="s">
        <v>46</v>
      </c>
      <c r="F260" s="6">
        <v>562</v>
      </c>
      <c r="G260" s="6">
        <v>158</v>
      </c>
      <c r="H260" s="6">
        <v>149</v>
      </c>
      <c r="I260" s="6">
        <v>3372</v>
      </c>
      <c r="J260" s="6">
        <f t="shared" si="18"/>
        <v>962</v>
      </c>
      <c r="K260" s="6">
        <v>2940</v>
      </c>
      <c r="L260" s="6">
        <v>93</v>
      </c>
      <c r="M260" s="16" t="s">
        <v>22</v>
      </c>
      <c r="N260" s="17"/>
      <c r="O260" s="17"/>
      <c r="P260" s="4" t="s">
        <v>18</v>
      </c>
      <c r="Q260">
        <f>IFERROR(
  INDEX(Campaign!$C$2:$C$100, MATCH(M260, Campaign!$E$2:$E$100, 0)),
  0
)</f>
        <v>0</v>
      </c>
      <c r="R260" s="25">
        <f>IFERROR(
  INDEX(Campaign!$C$2:$C$100, MATCH(N260, Campaign!$E$2:$E$100, 0)),
  0
)</f>
        <v>0</v>
      </c>
      <c r="S260">
        <f>IFERROR(
  INDEX(Campaign!$C$2:$C$100, MATCH(O260, Campaign!$E$2:$E$100, 0)),
  0
)</f>
        <v>0</v>
      </c>
      <c r="T260" t="str">
        <f t="shared" si="19"/>
        <v/>
      </c>
      <c r="U260">
        <f t="shared" si="20"/>
        <v>0.25771055753262156</v>
      </c>
      <c r="V260" s="40" t="str">
        <f>IFERROR(
  INDEX(Campaign!$A$2:$A$100, MATCH(M264, Campaign!$E$2:$E$100, 0)),
  ""
)</f>
        <v/>
      </c>
      <c r="W260" t="str">
        <f t="shared" si="21"/>
        <v>Before</v>
      </c>
      <c r="X260" s="19"/>
    </row>
    <row r="261" spans="1:24">
      <c r="A261" s="4" t="s">
        <v>315</v>
      </c>
      <c r="B261" s="4" t="s">
        <v>30</v>
      </c>
      <c r="C261" s="5">
        <v>45700</v>
      </c>
      <c r="D261" s="4" t="s">
        <v>31</v>
      </c>
      <c r="E261" s="4" t="s">
        <v>32</v>
      </c>
      <c r="F261" s="6">
        <v>4332</v>
      </c>
      <c r="G261" s="6">
        <v>771</v>
      </c>
      <c r="H261" s="6">
        <v>219</v>
      </c>
      <c r="I261" s="6">
        <v>60648</v>
      </c>
      <c r="J261" s="6">
        <f t="shared" si="18"/>
        <v>5332</v>
      </c>
      <c r="K261" s="6">
        <v>60397</v>
      </c>
      <c r="L261" s="6">
        <v>10</v>
      </c>
      <c r="M261" s="16" t="s">
        <v>22</v>
      </c>
      <c r="N261" s="17" t="s">
        <v>33</v>
      </c>
      <c r="O261" s="17" t="s">
        <v>23</v>
      </c>
      <c r="P261" s="4" t="s">
        <v>28</v>
      </c>
      <c r="Q261">
        <f>IFERROR(
  INDEX(Campaign!$C$2:$C$100, MATCH(M261, Campaign!$E$2:$E$100, 0)),
  0
)</f>
        <v>0</v>
      </c>
      <c r="R261" s="25">
        <f>IFERROR(
  INDEX(Campaign!$C$2:$C$100, MATCH(N261, Campaign!$E$2:$E$100, 0)),
  0
)</f>
        <v>150000</v>
      </c>
      <c r="S261">
        <f>IFERROR(
  INDEX(Campaign!$C$2:$C$100, MATCH(O261, Campaign!$E$2:$E$100, 0)),
  0
)</f>
        <v>180000</v>
      </c>
      <c r="T261">
        <f t="shared" si="19"/>
        <v>1.6157575757575756E-2</v>
      </c>
      <c r="U261">
        <f t="shared" si="20"/>
        <v>8.7752275425405618E-2</v>
      </c>
      <c r="V261" s="40" t="str">
        <f>IFERROR(
  INDEX(Campaign!$A$2:$A$100, MATCH(M265, Campaign!$E$2:$E$100, 0)),
  ""
)</f>
        <v/>
      </c>
      <c r="W261" t="str">
        <f t="shared" si="21"/>
        <v>During</v>
      </c>
      <c r="X261" s="19"/>
    </row>
    <row r="262" spans="1:24">
      <c r="A262" s="4" t="s">
        <v>316</v>
      </c>
      <c r="B262" s="4" t="s">
        <v>30</v>
      </c>
      <c r="C262" s="5">
        <v>45592</v>
      </c>
      <c r="D262" s="4" t="s">
        <v>43</v>
      </c>
      <c r="E262" s="4" t="s">
        <v>135</v>
      </c>
      <c r="F262" s="6">
        <v>4853</v>
      </c>
      <c r="G262" s="6">
        <v>837</v>
      </c>
      <c r="H262" s="6">
        <v>340</v>
      </c>
      <c r="I262" s="6">
        <v>72795</v>
      </c>
      <c r="J262" s="6">
        <f t="shared" si="18"/>
        <v>6200</v>
      </c>
      <c r="K262" s="6">
        <v>72237</v>
      </c>
      <c r="L262" s="6">
        <v>170</v>
      </c>
      <c r="M262" s="16" t="s">
        <v>33</v>
      </c>
      <c r="N262" s="17"/>
      <c r="O262" s="17"/>
      <c r="P262" s="4" t="s">
        <v>18</v>
      </c>
      <c r="Q262">
        <f>IFERROR(
  INDEX(Campaign!$C$2:$C$100, MATCH(M262, Campaign!$E$2:$E$100, 0)),
  0
)</f>
        <v>150000</v>
      </c>
      <c r="R262" s="25">
        <f>IFERROR(
  INDEX(Campaign!$C$2:$C$100, MATCH(N262, Campaign!$E$2:$E$100, 0)),
  0
)</f>
        <v>0</v>
      </c>
      <c r="S262">
        <f>IFERROR(
  INDEX(Campaign!$C$2:$C$100, MATCH(O262, Campaign!$E$2:$E$100, 0)),
  0
)</f>
        <v>0</v>
      </c>
      <c r="T262">
        <f t="shared" si="19"/>
        <v>4.1333333333333333E-2</v>
      </c>
      <c r="U262">
        <f t="shared" si="20"/>
        <v>8.2835359571399134E-2</v>
      </c>
      <c r="V262" s="40">
        <f>IFERROR(
  INDEX(Campaign!$A$2:$A$100, MATCH(M266, Campaign!$E$2:$E$100, 0)),
  ""
)</f>
        <v>45488</v>
      </c>
      <c r="W262" t="str">
        <f t="shared" si="21"/>
        <v>Before</v>
      </c>
      <c r="X262" s="19"/>
    </row>
    <row r="263" spans="1:24">
      <c r="A263" s="4" t="s">
        <v>317</v>
      </c>
      <c r="B263" s="4" t="s">
        <v>26</v>
      </c>
      <c r="C263" s="5">
        <v>45675</v>
      </c>
      <c r="D263" s="4" t="s">
        <v>43</v>
      </c>
      <c r="E263" s="4" t="s">
        <v>44</v>
      </c>
      <c r="F263" s="6">
        <v>1206</v>
      </c>
      <c r="G263" s="6">
        <v>238</v>
      </c>
      <c r="H263" s="6">
        <v>36</v>
      </c>
      <c r="I263" s="6">
        <v>9648</v>
      </c>
      <c r="J263" s="6">
        <f t="shared" si="18"/>
        <v>1717</v>
      </c>
      <c r="K263" s="6">
        <v>9417</v>
      </c>
      <c r="L263" s="6">
        <v>237</v>
      </c>
      <c r="M263" s="16" t="s">
        <v>22</v>
      </c>
      <c r="N263" s="17"/>
      <c r="O263" s="17"/>
      <c r="P263" s="7"/>
      <c r="Q263">
        <f>IFERROR(
  INDEX(Campaign!$C$2:$C$100, MATCH(M263, Campaign!$E$2:$E$100, 0)),
  0
)</f>
        <v>0</v>
      </c>
      <c r="R263" s="25">
        <f>IFERROR(
  INDEX(Campaign!$C$2:$C$100, MATCH(N263, Campaign!$E$2:$E$100, 0)),
  0
)</f>
        <v>0</v>
      </c>
      <c r="S263">
        <f>IFERROR(
  INDEX(Campaign!$C$2:$C$100, MATCH(O263, Campaign!$E$2:$E$100, 0)),
  0
)</f>
        <v>0</v>
      </c>
      <c r="T263" t="str">
        <f t="shared" si="19"/>
        <v/>
      </c>
      <c r="U263">
        <f t="shared" si="20"/>
        <v>0.15339966832504145</v>
      </c>
      <c r="V263" s="40" t="str">
        <f>IFERROR(
  INDEX(Campaign!$A$2:$A$100, MATCH(M267, Campaign!$E$2:$E$100, 0)),
  ""
)</f>
        <v/>
      </c>
      <c r="W263" t="str">
        <f t="shared" si="21"/>
        <v>Before</v>
      </c>
      <c r="X263" s="19"/>
    </row>
    <row r="264" spans="1:24">
      <c r="A264" s="4" t="s">
        <v>318</v>
      </c>
      <c r="B264" s="4" t="s">
        <v>30</v>
      </c>
      <c r="C264" s="5">
        <v>45524</v>
      </c>
      <c r="D264" s="4" t="s">
        <v>14</v>
      </c>
      <c r="E264" s="4" t="s">
        <v>62</v>
      </c>
      <c r="F264" s="6">
        <v>2603</v>
      </c>
      <c r="G264" s="6">
        <v>690</v>
      </c>
      <c r="H264" s="6">
        <v>205</v>
      </c>
      <c r="I264" s="6">
        <v>13015</v>
      </c>
      <c r="J264" s="6">
        <f t="shared" si="18"/>
        <v>3518</v>
      </c>
      <c r="K264" s="6">
        <v>12130</v>
      </c>
      <c r="L264" s="6">
        <v>20</v>
      </c>
      <c r="M264" s="16" t="s">
        <v>16</v>
      </c>
      <c r="N264" s="17"/>
      <c r="O264" s="17"/>
      <c r="P264" s="4" t="s">
        <v>24</v>
      </c>
      <c r="Q264">
        <f>IFERROR(
  INDEX(Campaign!$C$2:$C$100, MATCH(M264, Campaign!$E$2:$E$100, 0)),
  0
)</f>
        <v>0</v>
      </c>
      <c r="R264" s="25">
        <f>IFERROR(
  INDEX(Campaign!$C$2:$C$100, MATCH(N264, Campaign!$E$2:$E$100, 0)),
  0
)</f>
        <v>0</v>
      </c>
      <c r="S264">
        <f>IFERROR(
  INDEX(Campaign!$C$2:$C$100, MATCH(O264, Campaign!$E$2:$E$100, 0)),
  0
)</f>
        <v>0</v>
      </c>
      <c r="T264" t="str">
        <f t="shared" si="19"/>
        <v/>
      </c>
      <c r="U264">
        <f t="shared" si="20"/>
        <v>0.26876680752977333</v>
      </c>
      <c r="V264" s="40" t="str">
        <f>IFERROR(
  INDEX(Campaign!$A$2:$A$100, MATCH(M268, Campaign!$E$2:$E$100, 0)),
  ""
)</f>
        <v/>
      </c>
      <c r="W264" t="str">
        <f t="shared" si="21"/>
        <v>Before</v>
      </c>
      <c r="X264" s="19"/>
    </row>
    <row r="265" spans="1:24">
      <c r="A265" s="4" t="s">
        <v>319</v>
      </c>
      <c r="B265" s="4" t="s">
        <v>13</v>
      </c>
      <c r="C265" s="5">
        <v>45687</v>
      </c>
      <c r="D265" s="4" t="s">
        <v>43</v>
      </c>
      <c r="E265" s="4" t="s">
        <v>89</v>
      </c>
      <c r="F265" s="6">
        <v>59</v>
      </c>
      <c r="G265" s="6">
        <v>163</v>
      </c>
      <c r="H265" s="6">
        <v>93</v>
      </c>
      <c r="I265" s="6">
        <v>590</v>
      </c>
      <c r="J265" s="6">
        <f t="shared" si="18"/>
        <v>608</v>
      </c>
      <c r="K265" s="6">
        <v>475</v>
      </c>
      <c r="L265" s="6">
        <v>293</v>
      </c>
      <c r="M265" s="16" t="s">
        <v>22</v>
      </c>
      <c r="N265" s="17"/>
      <c r="O265" s="17"/>
      <c r="P265" s="4" t="s">
        <v>24</v>
      </c>
      <c r="Q265">
        <f>IFERROR(
  INDEX(Campaign!$C$2:$C$100, MATCH(M265, Campaign!$E$2:$E$100, 0)),
  0
)</f>
        <v>0</v>
      </c>
      <c r="R265" s="25">
        <f>IFERROR(
  INDEX(Campaign!$C$2:$C$100, MATCH(N265, Campaign!$E$2:$E$100, 0)),
  0
)</f>
        <v>0</v>
      </c>
      <c r="S265">
        <f>IFERROR(
  INDEX(Campaign!$C$2:$C$100, MATCH(O265, Campaign!$E$2:$E$100, 0)),
  0
)</f>
        <v>0</v>
      </c>
      <c r="T265" t="str">
        <f t="shared" si="19"/>
        <v/>
      </c>
      <c r="U265">
        <f t="shared" si="20"/>
        <v>0.53389830508474578</v>
      </c>
      <c r="V265" s="40">
        <f>IFERROR(
  INDEX(Campaign!$A$2:$A$100, MATCH(M269, Campaign!$E$2:$E$100, 0)),
  ""
)</f>
        <v>45488</v>
      </c>
      <c r="W265" t="str">
        <f t="shared" si="21"/>
        <v>Before</v>
      </c>
      <c r="X265" s="19"/>
    </row>
    <row r="266" spans="1:24">
      <c r="A266" s="4" t="s">
        <v>320</v>
      </c>
      <c r="B266" s="4" t="s">
        <v>13</v>
      </c>
      <c r="C266" s="5">
        <v>45708</v>
      </c>
      <c r="D266" s="4" t="s">
        <v>38</v>
      </c>
      <c r="E266" s="4" t="s">
        <v>41</v>
      </c>
      <c r="F266" s="6">
        <v>1877</v>
      </c>
      <c r="G266" s="6">
        <v>745</v>
      </c>
      <c r="H266" s="6">
        <v>225</v>
      </c>
      <c r="I266" s="6">
        <v>11262</v>
      </c>
      <c r="J266" s="6">
        <f t="shared" si="18"/>
        <v>2888</v>
      </c>
      <c r="K266" s="6">
        <v>10967</v>
      </c>
      <c r="L266" s="6">
        <v>41</v>
      </c>
      <c r="M266" s="16" t="s">
        <v>33</v>
      </c>
      <c r="N266" s="17"/>
      <c r="O266" s="17"/>
      <c r="P266" s="4" t="s">
        <v>34</v>
      </c>
      <c r="Q266">
        <f>IFERROR(
  INDEX(Campaign!$C$2:$C$100, MATCH(M266, Campaign!$E$2:$E$100, 0)),
  0
)</f>
        <v>150000</v>
      </c>
      <c r="R266" s="25">
        <f>IFERROR(
  INDEX(Campaign!$C$2:$C$100, MATCH(N266, Campaign!$E$2:$E$100, 0)),
  0
)</f>
        <v>0</v>
      </c>
      <c r="S266">
        <f>IFERROR(
  INDEX(Campaign!$C$2:$C$100, MATCH(O266, Campaign!$E$2:$E$100, 0)),
  0
)</f>
        <v>0</v>
      </c>
      <c r="T266">
        <f t="shared" si="19"/>
        <v>1.9253333333333334E-2</v>
      </c>
      <c r="U266">
        <f t="shared" si="20"/>
        <v>0.25279701651571657</v>
      </c>
      <c r="V266" s="40" t="str">
        <f>IFERROR(
  INDEX(Campaign!$A$2:$A$100, MATCH(M270, Campaign!$E$2:$E$100, 0)),
  ""
)</f>
        <v/>
      </c>
      <c r="W266" t="str">
        <f t="shared" si="21"/>
        <v>Before</v>
      </c>
      <c r="X266" s="19"/>
    </row>
    <row r="267" spans="1:24">
      <c r="A267" s="4" t="s">
        <v>321</v>
      </c>
      <c r="B267" s="4" t="s">
        <v>37</v>
      </c>
      <c r="C267" s="5">
        <v>45621</v>
      </c>
      <c r="D267" s="4" t="s">
        <v>31</v>
      </c>
      <c r="E267" s="4" t="s">
        <v>55</v>
      </c>
      <c r="F267" s="6">
        <v>4182</v>
      </c>
      <c r="G267" s="6">
        <v>640</v>
      </c>
      <c r="H267" s="6">
        <v>240</v>
      </c>
      <c r="I267" s="6">
        <v>50184</v>
      </c>
      <c r="J267" s="6">
        <f t="shared" si="18"/>
        <v>5072</v>
      </c>
      <c r="K267" s="6">
        <v>49351</v>
      </c>
      <c r="L267" s="6">
        <v>10</v>
      </c>
      <c r="M267" s="16" t="s">
        <v>22</v>
      </c>
      <c r="N267" s="17"/>
      <c r="O267" s="17"/>
      <c r="P267" s="4" t="s">
        <v>28</v>
      </c>
      <c r="Q267">
        <f>IFERROR(
  INDEX(Campaign!$C$2:$C$100, MATCH(M267, Campaign!$E$2:$E$100, 0)),
  0
)</f>
        <v>0</v>
      </c>
      <c r="R267" s="25">
        <f>IFERROR(
  INDEX(Campaign!$C$2:$C$100, MATCH(N267, Campaign!$E$2:$E$100, 0)),
  0
)</f>
        <v>0</v>
      </c>
      <c r="S267">
        <f>IFERROR(
  INDEX(Campaign!$C$2:$C$100, MATCH(O267, Campaign!$E$2:$E$100, 0)),
  0
)</f>
        <v>0</v>
      </c>
      <c r="T267" t="str">
        <f t="shared" si="19"/>
        <v/>
      </c>
      <c r="U267">
        <f t="shared" si="20"/>
        <v>0.10086880280567512</v>
      </c>
      <c r="V267" s="40" t="str">
        <f>IFERROR(
  INDEX(Campaign!$A$2:$A$100, MATCH(M271, Campaign!$E$2:$E$100, 0)),
  ""
)</f>
        <v/>
      </c>
      <c r="W267" t="str">
        <f t="shared" si="21"/>
        <v>Before</v>
      </c>
      <c r="X267" s="19"/>
    </row>
    <row r="268" spans="1:24">
      <c r="A268" s="4" t="s">
        <v>322</v>
      </c>
      <c r="B268" s="4" t="s">
        <v>13</v>
      </c>
      <c r="C268" s="5">
        <v>45569</v>
      </c>
      <c r="D268" s="4" t="s">
        <v>14</v>
      </c>
      <c r="E268" s="4" t="s">
        <v>15</v>
      </c>
      <c r="F268" s="6">
        <v>4187</v>
      </c>
      <c r="G268" s="6">
        <v>66</v>
      </c>
      <c r="H268" s="6">
        <v>31</v>
      </c>
      <c r="I268" s="6">
        <v>66992</v>
      </c>
      <c r="J268" s="6">
        <f t="shared" si="18"/>
        <v>4346</v>
      </c>
      <c r="K268" s="6">
        <v>66614</v>
      </c>
      <c r="L268" s="6">
        <v>62</v>
      </c>
      <c r="M268" s="16" t="s">
        <v>16</v>
      </c>
      <c r="N268" s="17"/>
      <c r="O268" s="17"/>
      <c r="P268" s="7"/>
      <c r="Q268">
        <f>IFERROR(
  INDEX(Campaign!$C$2:$C$100, MATCH(M268, Campaign!$E$2:$E$100, 0)),
  0
)</f>
        <v>0</v>
      </c>
      <c r="R268" s="25">
        <f>IFERROR(
  INDEX(Campaign!$C$2:$C$100, MATCH(N268, Campaign!$E$2:$E$100, 0)),
  0
)</f>
        <v>0</v>
      </c>
      <c r="S268">
        <f>IFERROR(
  INDEX(Campaign!$C$2:$C$100, MATCH(O268, Campaign!$E$2:$E$100, 0)),
  0
)</f>
        <v>0</v>
      </c>
      <c r="T268" t="str">
        <f t="shared" si="19"/>
        <v/>
      </c>
      <c r="U268">
        <f t="shared" si="20"/>
        <v>6.3947934081681396E-2</v>
      </c>
      <c r="V268" s="40">
        <f>IFERROR(
  INDEX(Campaign!$A$2:$A$100, MATCH(M272, Campaign!$E$2:$E$100, 0)),
  ""
)</f>
        <v>45488</v>
      </c>
      <c r="W268" t="str">
        <f t="shared" si="21"/>
        <v>Before</v>
      </c>
      <c r="X268" s="19"/>
    </row>
    <row r="269" spans="1:24">
      <c r="A269" s="4" t="s">
        <v>323</v>
      </c>
      <c r="B269" s="4" t="s">
        <v>30</v>
      </c>
      <c r="C269" s="5">
        <v>45760</v>
      </c>
      <c r="D269" s="4" t="s">
        <v>14</v>
      </c>
      <c r="E269" s="4" t="s">
        <v>62</v>
      </c>
      <c r="F269" s="6">
        <v>4579</v>
      </c>
      <c r="G269" s="6">
        <v>125</v>
      </c>
      <c r="H269" s="6">
        <v>300</v>
      </c>
      <c r="I269" s="6">
        <v>59527</v>
      </c>
      <c r="J269" s="6">
        <f t="shared" si="18"/>
        <v>5273</v>
      </c>
      <c r="K269" s="6">
        <v>59400</v>
      </c>
      <c r="L269" s="6">
        <v>269</v>
      </c>
      <c r="M269" s="16" t="s">
        <v>33</v>
      </c>
      <c r="N269" s="17"/>
      <c r="O269" s="17"/>
      <c r="P269" s="4" t="s">
        <v>18</v>
      </c>
      <c r="Q269">
        <f>IFERROR(
  INDEX(Campaign!$C$2:$C$100, MATCH(M269, Campaign!$E$2:$E$100, 0)),
  0
)</f>
        <v>150000</v>
      </c>
      <c r="R269" s="25">
        <f>IFERROR(
  INDEX(Campaign!$C$2:$C$100, MATCH(N269, Campaign!$E$2:$E$100, 0)),
  0
)</f>
        <v>0</v>
      </c>
      <c r="S269">
        <f>IFERROR(
  INDEX(Campaign!$C$2:$C$100, MATCH(O269, Campaign!$E$2:$E$100, 0)),
  0
)</f>
        <v>0</v>
      </c>
      <c r="T269">
        <f t="shared" si="19"/>
        <v>3.5153333333333335E-2</v>
      </c>
      <c r="U269">
        <f t="shared" si="20"/>
        <v>8.4062694239588759E-2</v>
      </c>
      <c r="V269" s="40" t="str">
        <f>IFERROR(
  INDEX(Campaign!$A$2:$A$100, MATCH(M273, Campaign!$E$2:$E$100, 0)),
  ""
)</f>
        <v/>
      </c>
      <c r="W269" t="str">
        <f t="shared" si="21"/>
        <v>Before</v>
      </c>
      <c r="X269" s="19"/>
    </row>
    <row r="270" spans="1:24">
      <c r="A270" s="4" t="s">
        <v>324</v>
      </c>
      <c r="B270" s="4" t="s">
        <v>30</v>
      </c>
      <c r="C270" s="5">
        <v>45601</v>
      </c>
      <c r="D270" s="4" t="s">
        <v>57</v>
      </c>
      <c r="E270" s="4" t="s">
        <v>64</v>
      </c>
      <c r="F270" s="6">
        <v>4561</v>
      </c>
      <c r="G270" s="6">
        <v>51</v>
      </c>
      <c r="H270" s="6">
        <v>441</v>
      </c>
      <c r="I270" s="6">
        <v>22805</v>
      </c>
      <c r="J270" s="6">
        <f t="shared" si="18"/>
        <v>5098</v>
      </c>
      <c r="K270" s="6">
        <v>21890</v>
      </c>
      <c r="L270" s="6">
        <v>45</v>
      </c>
      <c r="M270" s="16" t="s">
        <v>22</v>
      </c>
      <c r="N270" s="17"/>
      <c r="O270" s="17"/>
      <c r="P270" s="4" t="s">
        <v>24</v>
      </c>
      <c r="Q270">
        <f>IFERROR(
  INDEX(Campaign!$C$2:$C$100, MATCH(M270, Campaign!$E$2:$E$100, 0)),
  0
)</f>
        <v>0</v>
      </c>
      <c r="R270" s="25">
        <f>IFERROR(
  INDEX(Campaign!$C$2:$C$100, MATCH(N270, Campaign!$E$2:$E$100, 0)),
  0
)</f>
        <v>0</v>
      </c>
      <c r="S270">
        <f>IFERROR(
  INDEX(Campaign!$C$2:$C$100, MATCH(O270, Campaign!$E$2:$E$100, 0)),
  0
)</f>
        <v>0</v>
      </c>
      <c r="T270" t="str">
        <f t="shared" si="19"/>
        <v/>
      </c>
      <c r="U270">
        <f t="shared" si="20"/>
        <v>0.22157421618066214</v>
      </c>
      <c r="V270" s="40">
        <f>IFERROR(
  INDEX(Campaign!$A$2:$A$100, MATCH(M274, Campaign!$E$2:$E$100, 0)),
  ""
)</f>
        <v>45488</v>
      </c>
      <c r="W270" t="str">
        <f t="shared" si="21"/>
        <v>Before</v>
      </c>
      <c r="X270" s="19"/>
    </row>
    <row r="271" spans="1:24">
      <c r="A271" s="4" t="s">
        <v>325</v>
      </c>
      <c r="B271" s="4" t="s">
        <v>26</v>
      </c>
      <c r="C271" s="5">
        <v>45672</v>
      </c>
      <c r="D271" s="4" t="s">
        <v>14</v>
      </c>
      <c r="E271" s="4" t="s">
        <v>27</v>
      </c>
      <c r="F271" s="6">
        <v>3774</v>
      </c>
      <c r="G271" s="6">
        <v>239</v>
      </c>
      <c r="H271" s="6">
        <v>39</v>
      </c>
      <c r="I271" s="6">
        <v>60384</v>
      </c>
      <c r="J271" s="6">
        <f t="shared" si="18"/>
        <v>4293</v>
      </c>
      <c r="K271" s="6">
        <v>59490</v>
      </c>
      <c r="L271" s="6">
        <v>241</v>
      </c>
      <c r="M271" s="16" t="s">
        <v>22</v>
      </c>
      <c r="N271" s="17"/>
      <c r="O271" s="17"/>
      <c r="P271" s="4" t="s">
        <v>28</v>
      </c>
      <c r="Q271">
        <f>IFERROR(
  INDEX(Campaign!$C$2:$C$100, MATCH(M271, Campaign!$E$2:$E$100, 0)),
  0
)</f>
        <v>0</v>
      </c>
      <c r="R271" s="25">
        <f>IFERROR(
  INDEX(Campaign!$C$2:$C$100, MATCH(N271, Campaign!$E$2:$E$100, 0)),
  0
)</f>
        <v>0</v>
      </c>
      <c r="S271">
        <f>IFERROR(
  INDEX(Campaign!$C$2:$C$100, MATCH(O271, Campaign!$E$2:$E$100, 0)),
  0
)</f>
        <v>0</v>
      </c>
      <c r="T271" t="str">
        <f t="shared" si="19"/>
        <v/>
      </c>
      <c r="U271">
        <f t="shared" si="20"/>
        <v>6.7103868574456813E-2</v>
      </c>
      <c r="V271" s="40" t="str">
        <f>IFERROR(
  INDEX(Campaign!$A$2:$A$100, MATCH(M275, Campaign!$E$2:$E$100, 0)),
  ""
)</f>
        <v/>
      </c>
      <c r="W271" t="str">
        <f t="shared" si="21"/>
        <v>Before</v>
      </c>
      <c r="X271" s="19"/>
    </row>
    <row r="272" spans="1:24">
      <c r="A272" s="4" t="s">
        <v>326</v>
      </c>
      <c r="B272" s="4" t="s">
        <v>30</v>
      </c>
      <c r="C272" s="5">
        <v>45582</v>
      </c>
      <c r="D272" s="4" t="s">
        <v>57</v>
      </c>
      <c r="E272" s="4" t="s">
        <v>64</v>
      </c>
      <c r="F272" s="6">
        <v>3575</v>
      </c>
      <c r="G272" s="6">
        <v>749</v>
      </c>
      <c r="H272" s="6">
        <v>111</v>
      </c>
      <c r="I272" s="6">
        <v>21450</v>
      </c>
      <c r="J272" s="6">
        <f t="shared" si="18"/>
        <v>4630</v>
      </c>
      <c r="K272" s="6">
        <v>20785</v>
      </c>
      <c r="L272" s="6">
        <v>195</v>
      </c>
      <c r="M272" s="16" t="s">
        <v>33</v>
      </c>
      <c r="N272" s="17"/>
      <c r="O272" s="17"/>
      <c r="P272" s="4" t="s">
        <v>24</v>
      </c>
      <c r="Q272">
        <f>IFERROR(
  INDEX(Campaign!$C$2:$C$100, MATCH(M272, Campaign!$E$2:$E$100, 0)),
  0
)</f>
        <v>150000</v>
      </c>
      <c r="R272" s="25">
        <f>IFERROR(
  INDEX(Campaign!$C$2:$C$100, MATCH(N272, Campaign!$E$2:$E$100, 0)),
  0
)</f>
        <v>0</v>
      </c>
      <c r="S272">
        <f>IFERROR(
  INDEX(Campaign!$C$2:$C$100, MATCH(O272, Campaign!$E$2:$E$100, 0)),
  0
)</f>
        <v>0</v>
      </c>
      <c r="T272">
        <f t="shared" si="19"/>
        <v>3.0866666666666667E-2</v>
      </c>
      <c r="U272">
        <f t="shared" si="20"/>
        <v>0.20675990675990677</v>
      </c>
      <c r="V272" s="40">
        <f>IFERROR(
  INDEX(Campaign!$A$2:$A$100, MATCH(M276, Campaign!$E$2:$E$100, 0)),
  ""
)</f>
        <v>45488</v>
      </c>
      <c r="W272" t="str">
        <f t="shared" si="21"/>
        <v>Before</v>
      </c>
      <c r="X272" s="19"/>
    </row>
    <row r="273" spans="1:24">
      <c r="A273" s="4" t="s">
        <v>327</v>
      </c>
      <c r="B273" s="4" t="s">
        <v>30</v>
      </c>
      <c r="C273" s="5">
        <v>45743</v>
      </c>
      <c r="D273" s="4" t="s">
        <v>20</v>
      </c>
      <c r="E273" s="4" t="s">
        <v>79</v>
      </c>
      <c r="F273" s="6">
        <v>4941</v>
      </c>
      <c r="G273" s="6">
        <v>414</v>
      </c>
      <c r="H273" s="6">
        <v>266</v>
      </c>
      <c r="I273" s="6">
        <v>39528</v>
      </c>
      <c r="J273" s="6">
        <f t="shared" si="18"/>
        <v>5838</v>
      </c>
      <c r="K273" s="6">
        <v>39154</v>
      </c>
      <c r="L273" s="6">
        <v>217</v>
      </c>
      <c r="M273" s="16" t="s">
        <v>22</v>
      </c>
      <c r="N273" s="17"/>
      <c r="O273" s="17"/>
      <c r="P273" s="4" t="s">
        <v>28</v>
      </c>
      <c r="Q273">
        <f>IFERROR(
  INDEX(Campaign!$C$2:$C$100, MATCH(M273, Campaign!$E$2:$E$100, 0)),
  0
)</f>
        <v>0</v>
      </c>
      <c r="R273" s="25">
        <f>IFERROR(
  INDEX(Campaign!$C$2:$C$100, MATCH(N273, Campaign!$E$2:$E$100, 0)),
  0
)</f>
        <v>0</v>
      </c>
      <c r="S273">
        <f>IFERROR(
  INDEX(Campaign!$C$2:$C$100, MATCH(O273, Campaign!$E$2:$E$100, 0)),
  0
)</f>
        <v>0</v>
      </c>
      <c r="T273" t="str">
        <f t="shared" si="19"/>
        <v/>
      </c>
      <c r="U273">
        <f t="shared" si="20"/>
        <v>0.14220299534507186</v>
      </c>
      <c r="V273" s="40" t="str">
        <f>IFERROR(
  INDEX(Campaign!$A$2:$A$100, MATCH(M277, Campaign!$E$2:$E$100, 0)),
  ""
)</f>
        <v/>
      </c>
      <c r="W273" t="str">
        <f t="shared" si="21"/>
        <v>Before</v>
      </c>
      <c r="X273" s="19"/>
    </row>
    <row r="274" spans="1:24">
      <c r="A274" s="4" t="s">
        <v>328</v>
      </c>
      <c r="B274" s="4" t="s">
        <v>26</v>
      </c>
      <c r="C274" s="5">
        <v>45577</v>
      </c>
      <c r="D274" s="4" t="s">
        <v>31</v>
      </c>
      <c r="E274" s="4" t="s">
        <v>102</v>
      </c>
      <c r="F274" s="6">
        <v>3641</v>
      </c>
      <c r="G274" s="6">
        <v>226</v>
      </c>
      <c r="H274" s="6">
        <v>46</v>
      </c>
      <c r="I274" s="6">
        <v>40051</v>
      </c>
      <c r="J274" s="6">
        <f t="shared" si="18"/>
        <v>4209</v>
      </c>
      <c r="K274" s="6">
        <v>39319</v>
      </c>
      <c r="L274" s="6">
        <v>296</v>
      </c>
      <c r="M274" s="16" t="s">
        <v>33</v>
      </c>
      <c r="N274" s="17"/>
      <c r="O274" s="17"/>
      <c r="P274" s="4" t="s">
        <v>34</v>
      </c>
      <c r="Q274">
        <f>IFERROR(
  INDEX(Campaign!$C$2:$C$100, MATCH(M274, Campaign!$E$2:$E$100, 0)),
  0
)</f>
        <v>150000</v>
      </c>
      <c r="R274" s="25">
        <f>IFERROR(
  INDEX(Campaign!$C$2:$C$100, MATCH(N274, Campaign!$E$2:$E$100, 0)),
  0
)</f>
        <v>0</v>
      </c>
      <c r="S274">
        <f>IFERROR(
  INDEX(Campaign!$C$2:$C$100, MATCH(O274, Campaign!$E$2:$E$100, 0)),
  0
)</f>
        <v>0</v>
      </c>
      <c r="T274">
        <f t="shared" si="19"/>
        <v>2.8060000000000002E-2</v>
      </c>
      <c r="U274">
        <f t="shared" si="20"/>
        <v>9.7700431949264685E-2</v>
      </c>
      <c r="V274" s="40" t="str">
        <f>IFERROR(
  INDEX(Campaign!$A$2:$A$100, MATCH(M278, Campaign!$E$2:$E$100, 0)),
  ""
)</f>
        <v/>
      </c>
      <c r="W274" t="str">
        <f t="shared" si="21"/>
        <v>Before</v>
      </c>
      <c r="X274" s="19"/>
    </row>
    <row r="275" spans="1:24">
      <c r="A275" s="4" t="s">
        <v>329</v>
      </c>
      <c r="B275" s="4" t="s">
        <v>13</v>
      </c>
      <c r="C275" s="5">
        <v>45658</v>
      </c>
      <c r="D275" s="4" t="s">
        <v>38</v>
      </c>
      <c r="E275" s="4" t="s">
        <v>41</v>
      </c>
      <c r="F275" s="6">
        <v>3535</v>
      </c>
      <c r="G275" s="6">
        <v>494</v>
      </c>
      <c r="H275" s="6">
        <v>152</v>
      </c>
      <c r="I275" s="6">
        <v>53025</v>
      </c>
      <c r="J275" s="6">
        <f t="shared" si="18"/>
        <v>4225</v>
      </c>
      <c r="K275" s="6">
        <v>52791</v>
      </c>
      <c r="L275" s="6">
        <v>44</v>
      </c>
      <c r="M275" s="16" t="s">
        <v>22</v>
      </c>
      <c r="N275" s="17"/>
      <c r="O275" s="17"/>
      <c r="P275" s="4" t="s">
        <v>34</v>
      </c>
      <c r="Q275">
        <f>IFERROR(
  INDEX(Campaign!$C$2:$C$100, MATCH(M275, Campaign!$E$2:$E$100, 0)),
  0
)</f>
        <v>0</v>
      </c>
      <c r="R275" s="25">
        <f>IFERROR(
  INDEX(Campaign!$C$2:$C$100, MATCH(N275, Campaign!$E$2:$E$100, 0)),
  0
)</f>
        <v>0</v>
      </c>
      <c r="S275">
        <f>IFERROR(
  INDEX(Campaign!$C$2:$C$100, MATCH(O275, Campaign!$E$2:$E$100, 0)),
  0
)</f>
        <v>0</v>
      </c>
      <c r="T275" t="str">
        <f t="shared" si="19"/>
        <v/>
      </c>
      <c r="U275">
        <f t="shared" si="20"/>
        <v>7.8849599245638849E-2</v>
      </c>
      <c r="V275" s="40">
        <f>IFERROR(
  INDEX(Campaign!$A$2:$A$100, MATCH(M279, Campaign!$E$2:$E$100, 0)),
  ""
)</f>
        <v>45488</v>
      </c>
      <c r="W275" t="str">
        <f t="shared" si="21"/>
        <v>Before</v>
      </c>
      <c r="X275" s="19"/>
    </row>
    <row r="276" spans="1:24">
      <c r="A276" s="4" t="s">
        <v>330</v>
      </c>
      <c r="B276" s="4" t="s">
        <v>37</v>
      </c>
      <c r="C276" s="5">
        <v>45509</v>
      </c>
      <c r="D276" s="4" t="s">
        <v>14</v>
      </c>
      <c r="E276" s="4" t="s">
        <v>51</v>
      </c>
      <c r="F276" s="6">
        <v>1741</v>
      </c>
      <c r="G276" s="6">
        <v>831</v>
      </c>
      <c r="H276" s="6">
        <v>345</v>
      </c>
      <c r="I276" s="6">
        <v>17410</v>
      </c>
      <c r="J276" s="6">
        <f t="shared" si="18"/>
        <v>2975</v>
      </c>
      <c r="K276" s="6">
        <v>16844</v>
      </c>
      <c r="L276" s="6">
        <v>58</v>
      </c>
      <c r="M276" s="16" t="s">
        <v>33</v>
      </c>
      <c r="N276" s="17"/>
      <c r="O276" s="17"/>
      <c r="P276" s="4" t="s">
        <v>28</v>
      </c>
      <c r="Q276">
        <f>IFERROR(
  INDEX(Campaign!$C$2:$C$100, MATCH(M276, Campaign!$E$2:$E$100, 0)),
  0
)</f>
        <v>150000</v>
      </c>
      <c r="R276" s="25">
        <f>IFERROR(
  INDEX(Campaign!$C$2:$C$100, MATCH(N276, Campaign!$E$2:$E$100, 0)),
  0
)</f>
        <v>0</v>
      </c>
      <c r="S276">
        <f>IFERROR(
  INDEX(Campaign!$C$2:$C$100, MATCH(O276, Campaign!$E$2:$E$100, 0)),
  0
)</f>
        <v>0</v>
      </c>
      <c r="T276">
        <f t="shared" si="19"/>
        <v>1.9833333333333335E-2</v>
      </c>
      <c r="U276">
        <f t="shared" si="20"/>
        <v>0.16754738655944859</v>
      </c>
      <c r="V276" s="40" t="str">
        <f>IFERROR(
  INDEX(Campaign!$A$2:$A$100, MATCH(M280, Campaign!$E$2:$E$100, 0)),
  ""
)</f>
        <v/>
      </c>
      <c r="W276" t="str">
        <f t="shared" si="21"/>
        <v>Before</v>
      </c>
      <c r="X276" s="19"/>
    </row>
    <row r="277" spans="1:24">
      <c r="A277" s="4" t="s">
        <v>331</v>
      </c>
      <c r="B277" s="4" t="s">
        <v>13</v>
      </c>
      <c r="C277" s="5">
        <v>45450</v>
      </c>
      <c r="D277" s="4" t="s">
        <v>38</v>
      </c>
      <c r="E277" s="4" t="s">
        <v>41</v>
      </c>
      <c r="F277" s="6">
        <v>1556</v>
      </c>
      <c r="G277" s="6">
        <v>195</v>
      </c>
      <c r="H277" s="6">
        <v>131</v>
      </c>
      <c r="I277" s="6">
        <v>9336</v>
      </c>
      <c r="J277" s="6">
        <f t="shared" si="18"/>
        <v>2019</v>
      </c>
      <c r="K277" s="6">
        <v>8875</v>
      </c>
      <c r="L277" s="6">
        <v>137</v>
      </c>
      <c r="M277" s="16" t="s">
        <v>22</v>
      </c>
      <c r="N277" s="17"/>
      <c r="O277" s="17"/>
      <c r="P277" s="4" t="s">
        <v>24</v>
      </c>
      <c r="Q277">
        <f>IFERROR(
  INDEX(Campaign!$C$2:$C$100, MATCH(M277, Campaign!$E$2:$E$100, 0)),
  0
)</f>
        <v>0</v>
      </c>
      <c r="R277" s="25">
        <f>IFERROR(
  INDEX(Campaign!$C$2:$C$100, MATCH(N277, Campaign!$E$2:$E$100, 0)),
  0
)</f>
        <v>0</v>
      </c>
      <c r="S277">
        <f>IFERROR(
  INDEX(Campaign!$C$2:$C$100, MATCH(O277, Campaign!$E$2:$E$100, 0)),
  0
)</f>
        <v>0</v>
      </c>
      <c r="T277" t="str">
        <f t="shared" si="19"/>
        <v/>
      </c>
      <c r="U277">
        <f t="shared" si="20"/>
        <v>0.2015852613538989</v>
      </c>
      <c r="V277" s="40">
        <f>IFERROR(
  INDEX(Campaign!$A$2:$A$100, MATCH(M281, Campaign!$E$2:$E$100, 0)),
  ""
)</f>
        <v>45488</v>
      </c>
      <c r="W277" t="str">
        <f t="shared" si="21"/>
        <v>Before</v>
      </c>
      <c r="X277" s="19"/>
    </row>
    <row r="278" spans="1:24">
      <c r="A278" s="4" t="s">
        <v>332</v>
      </c>
      <c r="B278" s="4" t="s">
        <v>37</v>
      </c>
      <c r="C278" s="5">
        <v>45753</v>
      </c>
      <c r="D278" s="4" t="s">
        <v>43</v>
      </c>
      <c r="E278" s="4" t="s">
        <v>48</v>
      </c>
      <c r="F278" s="6">
        <v>4236</v>
      </c>
      <c r="G278" s="6">
        <v>711</v>
      </c>
      <c r="H278" s="6">
        <v>298</v>
      </c>
      <c r="I278" s="6">
        <v>21180</v>
      </c>
      <c r="J278" s="6">
        <f t="shared" si="18"/>
        <v>5483</v>
      </c>
      <c r="K278" s="6">
        <v>20516</v>
      </c>
      <c r="L278" s="6">
        <v>238</v>
      </c>
      <c r="M278" s="16" t="s">
        <v>16</v>
      </c>
      <c r="N278" s="17"/>
      <c r="O278" s="17"/>
      <c r="P278" s="4" t="s">
        <v>18</v>
      </c>
      <c r="Q278">
        <f>IFERROR(
  INDEX(Campaign!$C$2:$C$100, MATCH(M278, Campaign!$E$2:$E$100, 0)),
  0
)</f>
        <v>0</v>
      </c>
      <c r="R278" s="25">
        <f>IFERROR(
  INDEX(Campaign!$C$2:$C$100, MATCH(N278, Campaign!$E$2:$E$100, 0)),
  0
)</f>
        <v>0</v>
      </c>
      <c r="S278">
        <f>IFERROR(
  INDEX(Campaign!$C$2:$C$100, MATCH(O278, Campaign!$E$2:$E$100, 0)),
  0
)</f>
        <v>0</v>
      </c>
      <c r="T278" t="str">
        <f t="shared" si="19"/>
        <v/>
      </c>
      <c r="U278">
        <f t="shared" si="20"/>
        <v>0.24763928234183191</v>
      </c>
      <c r="V278" s="40">
        <f>IFERROR(
  INDEX(Campaign!$A$2:$A$100, MATCH(M282, Campaign!$E$2:$E$100, 0)),
  ""
)</f>
        <v>45488</v>
      </c>
      <c r="W278" t="str">
        <f t="shared" si="21"/>
        <v>Before</v>
      </c>
      <c r="X278" s="19"/>
    </row>
    <row r="279" spans="1:24">
      <c r="A279" s="4" t="s">
        <v>333</v>
      </c>
      <c r="B279" s="4" t="s">
        <v>13</v>
      </c>
      <c r="C279" s="5">
        <v>45622</v>
      </c>
      <c r="D279" s="4" t="s">
        <v>20</v>
      </c>
      <c r="E279" s="4" t="s">
        <v>21</v>
      </c>
      <c r="F279" s="6">
        <v>4516</v>
      </c>
      <c r="G279" s="6">
        <v>836</v>
      </c>
      <c r="H279" s="6">
        <v>169</v>
      </c>
      <c r="I279" s="6">
        <v>49676</v>
      </c>
      <c r="J279" s="6">
        <f t="shared" si="18"/>
        <v>5803</v>
      </c>
      <c r="K279" s="6">
        <v>49257</v>
      </c>
      <c r="L279" s="6">
        <v>282</v>
      </c>
      <c r="M279" s="16" t="s">
        <v>33</v>
      </c>
      <c r="N279" s="17"/>
      <c r="O279" s="17"/>
      <c r="P279" s="4" t="s">
        <v>34</v>
      </c>
      <c r="Q279">
        <f>IFERROR(
  INDEX(Campaign!$C$2:$C$100, MATCH(M279, Campaign!$E$2:$E$100, 0)),
  0
)</f>
        <v>150000</v>
      </c>
      <c r="R279" s="25">
        <f>IFERROR(
  INDEX(Campaign!$C$2:$C$100, MATCH(N279, Campaign!$E$2:$E$100, 0)),
  0
)</f>
        <v>0</v>
      </c>
      <c r="S279">
        <f>IFERROR(
  INDEX(Campaign!$C$2:$C$100, MATCH(O279, Campaign!$E$2:$E$100, 0)),
  0
)</f>
        <v>0</v>
      </c>
      <c r="T279">
        <f t="shared" si="19"/>
        <v>3.8686666666666668E-2</v>
      </c>
      <c r="U279">
        <f t="shared" si="20"/>
        <v>0.11114018842096787</v>
      </c>
      <c r="V279" s="40" t="str">
        <f>IFERROR(
  INDEX(Campaign!$A$2:$A$100, MATCH(M283, Campaign!$E$2:$E$100, 0)),
  ""
)</f>
        <v/>
      </c>
      <c r="W279" t="str">
        <f t="shared" si="21"/>
        <v>Before</v>
      </c>
      <c r="X279" s="19"/>
    </row>
    <row r="280" spans="1:24">
      <c r="A280" s="4" t="s">
        <v>334</v>
      </c>
      <c r="B280" s="4" t="s">
        <v>26</v>
      </c>
      <c r="C280" s="5">
        <v>45537</v>
      </c>
      <c r="D280" s="4" t="s">
        <v>43</v>
      </c>
      <c r="E280" s="4" t="s">
        <v>44</v>
      </c>
      <c r="F280" s="6">
        <v>4905</v>
      </c>
      <c r="G280" s="6">
        <v>845</v>
      </c>
      <c r="H280" s="6">
        <v>129</v>
      </c>
      <c r="I280" s="6">
        <v>98100</v>
      </c>
      <c r="J280" s="6">
        <f t="shared" si="18"/>
        <v>6158</v>
      </c>
      <c r="K280" s="6">
        <v>97772</v>
      </c>
      <c r="L280" s="6">
        <v>279</v>
      </c>
      <c r="M280" s="16" t="s">
        <v>22</v>
      </c>
      <c r="N280" s="17"/>
      <c r="O280" s="17"/>
      <c r="P280" s="4" t="s">
        <v>24</v>
      </c>
      <c r="Q280">
        <f>IFERROR(
  INDEX(Campaign!$C$2:$C$100, MATCH(M280, Campaign!$E$2:$E$100, 0)),
  0
)</f>
        <v>0</v>
      </c>
      <c r="R280" s="25">
        <f>IFERROR(
  INDEX(Campaign!$C$2:$C$100, MATCH(N280, Campaign!$E$2:$E$100, 0)),
  0
)</f>
        <v>0</v>
      </c>
      <c r="S280">
        <f>IFERROR(
  INDEX(Campaign!$C$2:$C$100, MATCH(O280, Campaign!$E$2:$E$100, 0)),
  0
)</f>
        <v>0</v>
      </c>
      <c r="T280" t="str">
        <f t="shared" si="19"/>
        <v/>
      </c>
      <c r="U280">
        <f t="shared" si="20"/>
        <v>5.9928644240570844E-2</v>
      </c>
      <c r="V280" s="40" t="str">
        <f>IFERROR(
  INDEX(Campaign!$A$2:$A$100, MATCH(M284, Campaign!$E$2:$E$100, 0)),
  ""
)</f>
        <v/>
      </c>
      <c r="W280" t="str">
        <f t="shared" si="21"/>
        <v>Before</v>
      </c>
      <c r="X280" s="19"/>
    </row>
    <row r="281" spans="1:24">
      <c r="A281" s="4" t="s">
        <v>335</v>
      </c>
      <c r="B281" s="4" t="s">
        <v>26</v>
      </c>
      <c r="C281" s="5">
        <v>45586</v>
      </c>
      <c r="D281" s="4" t="s">
        <v>57</v>
      </c>
      <c r="E281" s="4" t="s">
        <v>137</v>
      </c>
      <c r="F281" s="6">
        <v>4275</v>
      </c>
      <c r="G281" s="6">
        <v>680</v>
      </c>
      <c r="H281" s="6">
        <v>385</v>
      </c>
      <c r="I281" s="6">
        <v>64125</v>
      </c>
      <c r="J281" s="6">
        <f t="shared" si="18"/>
        <v>5444</v>
      </c>
      <c r="K281" s="6">
        <v>63650</v>
      </c>
      <c r="L281" s="6">
        <v>104</v>
      </c>
      <c r="M281" s="16" t="s">
        <v>33</v>
      </c>
      <c r="N281" s="17" t="s">
        <v>22</v>
      </c>
      <c r="O281" s="17" t="s">
        <v>17</v>
      </c>
      <c r="P281" s="4" t="s">
        <v>34</v>
      </c>
      <c r="Q281">
        <f>IFERROR(
  INDEX(Campaign!$C$2:$C$100, MATCH(M281, Campaign!$E$2:$E$100, 0)),
  0
)</f>
        <v>150000</v>
      </c>
      <c r="R281" s="25">
        <f>IFERROR(
  INDEX(Campaign!$C$2:$C$100, MATCH(N281, Campaign!$E$2:$E$100, 0)),
  0
)</f>
        <v>0</v>
      </c>
      <c r="S281">
        <f>IFERROR(
  INDEX(Campaign!$C$2:$C$100, MATCH(O281, Campaign!$E$2:$E$100, 0)),
  0
)</f>
        <v>200000</v>
      </c>
      <c r="T281">
        <f t="shared" si="19"/>
        <v>1.5554285714285715E-2</v>
      </c>
      <c r="U281">
        <f t="shared" si="20"/>
        <v>8.3274853801169585E-2</v>
      </c>
      <c r="V281" s="40" t="str">
        <f>IFERROR(
  INDEX(Campaign!$A$2:$A$100, MATCH(M285, Campaign!$E$2:$E$100, 0)),
  ""
)</f>
        <v/>
      </c>
      <c r="W281" t="str">
        <f t="shared" si="21"/>
        <v>During</v>
      </c>
      <c r="X281" s="19"/>
    </row>
    <row r="282" spans="1:24">
      <c r="A282" s="4" t="s">
        <v>336</v>
      </c>
      <c r="B282" s="4" t="s">
        <v>26</v>
      </c>
      <c r="C282" s="5">
        <v>45738</v>
      </c>
      <c r="D282" s="4" t="s">
        <v>43</v>
      </c>
      <c r="E282" s="4" t="s">
        <v>44</v>
      </c>
      <c r="F282" s="6">
        <v>3166</v>
      </c>
      <c r="G282" s="6">
        <v>90</v>
      </c>
      <c r="H282" s="6">
        <v>341</v>
      </c>
      <c r="I282" s="6">
        <v>56988</v>
      </c>
      <c r="J282" s="6">
        <f t="shared" si="18"/>
        <v>3732</v>
      </c>
      <c r="K282" s="6">
        <v>56125</v>
      </c>
      <c r="L282" s="6">
        <v>135</v>
      </c>
      <c r="M282" s="16" t="s">
        <v>33</v>
      </c>
      <c r="N282" s="17"/>
      <c r="O282" s="17"/>
      <c r="P282" s="4" t="s">
        <v>24</v>
      </c>
      <c r="Q282">
        <f>IFERROR(
  INDEX(Campaign!$C$2:$C$100, MATCH(M282, Campaign!$E$2:$E$100, 0)),
  0
)</f>
        <v>150000</v>
      </c>
      <c r="R282" s="25">
        <f>IFERROR(
  INDEX(Campaign!$C$2:$C$100, MATCH(N282, Campaign!$E$2:$E$100, 0)),
  0
)</f>
        <v>0</v>
      </c>
      <c r="S282">
        <f>IFERROR(
  INDEX(Campaign!$C$2:$C$100, MATCH(O282, Campaign!$E$2:$E$100, 0)),
  0
)</f>
        <v>0</v>
      </c>
      <c r="T282">
        <f t="shared" si="19"/>
        <v>2.4879999999999999E-2</v>
      </c>
      <c r="U282">
        <f t="shared" si="20"/>
        <v>6.3118551273952411E-2</v>
      </c>
      <c r="V282" s="40">
        <f>IFERROR(
  INDEX(Campaign!$A$2:$A$100, MATCH(M286, Campaign!$E$2:$E$100, 0)),
  ""
)</f>
        <v>45488</v>
      </c>
      <c r="W282" t="str">
        <f t="shared" si="21"/>
        <v>Before</v>
      </c>
      <c r="X282" s="19"/>
    </row>
    <row r="283" spans="1:24">
      <c r="A283" s="4" t="s">
        <v>337</v>
      </c>
      <c r="B283" s="4" t="s">
        <v>30</v>
      </c>
      <c r="C283" s="5">
        <v>45568</v>
      </c>
      <c r="D283" s="4" t="s">
        <v>57</v>
      </c>
      <c r="E283" s="4" t="s">
        <v>64</v>
      </c>
      <c r="F283" s="6">
        <v>1488</v>
      </c>
      <c r="G283" s="6">
        <v>417</v>
      </c>
      <c r="H283" s="6">
        <v>168</v>
      </c>
      <c r="I283" s="6">
        <v>19344</v>
      </c>
      <c r="J283" s="6">
        <f t="shared" si="18"/>
        <v>2103</v>
      </c>
      <c r="K283" s="6">
        <v>18395</v>
      </c>
      <c r="L283" s="6">
        <v>30</v>
      </c>
      <c r="M283" s="16" t="s">
        <v>16</v>
      </c>
      <c r="N283" s="17"/>
      <c r="O283" s="17"/>
      <c r="P283" s="4" t="s">
        <v>28</v>
      </c>
      <c r="Q283">
        <f>IFERROR(
  INDEX(Campaign!$C$2:$C$100, MATCH(M283, Campaign!$E$2:$E$100, 0)),
  0
)</f>
        <v>0</v>
      </c>
      <c r="R283" s="25">
        <f>IFERROR(
  INDEX(Campaign!$C$2:$C$100, MATCH(N283, Campaign!$E$2:$E$100, 0)),
  0
)</f>
        <v>0</v>
      </c>
      <c r="S283">
        <f>IFERROR(
  INDEX(Campaign!$C$2:$C$100, MATCH(O283, Campaign!$E$2:$E$100, 0)),
  0
)</f>
        <v>0</v>
      </c>
      <c r="T283" t="str">
        <f t="shared" si="19"/>
        <v/>
      </c>
      <c r="U283">
        <f t="shared" si="20"/>
        <v>0.1071650124069479</v>
      </c>
      <c r="V283" s="40" t="str">
        <f>IFERROR(
  INDEX(Campaign!$A$2:$A$100, MATCH(M287, Campaign!$E$2:$E$100, 0)),
  ""
)</f>
        <v/>
      </c>
      <c r="W283" t="str">
        <f t="shared" si="21"/>
        <v>Before</v>
      </c>
      <c r="X283" s="19"/>
    </row>
    <row r="284" spans="1:24">
      <c r="A284" s="4" t="s">
        <v>338</v>
      </c>
      <c r="B284" s="4" t="s">
        <v>13</v>
      </c>
      <c r="C284" s="5">
        <v>45786</v>
      </c>
      <c r="D284" s="4" t="s">
        <v>14</v>
      </c>
      <c r="E284" s="4" t="s">
        <v>15</v>
      </c>
      <c r="F284" s="6">
        <v>3367</v>
      </c>
      <c r="G284" s="6">
        <v>302</v>
      </c>
      <c r="H284" s="6">
        <v>57</v>
      </c>
      <c r="I284" s="6">
        <v>63973</v>
      </c>
      <c r="J284" s="6">
        <f t="shared" si="18"/>
        <v>3883</v>
      </c>
      <c r="K284" s="6">
        <v>63789</v>
      </c>
      <c r="L284" s="6">
        <v>157</v>
      </c>
      <c r="M284" s="16" t="s">
        <v>16</v>
      </c>
      <c r="N284" s="17"/>
      <c r="O284" s="17"/>
      <c r="P284" s="4" t="s">
        <v>24</v>
      </c>
      <c r="Q284">
        <f>IFERROR(
  INDEX(Campaign!$C$2:$C$100, MATCH(M284, Campaign!$E$2:$E$100, 0)),
  0
)</f>
        <v>0</v>
      </c>
      <c r="R284" s="25">
        <f>IFERROR(
  INDEX(Campaign!$C$2:$C$100, MATCH(N284, Campaign!$E$2:$E$100, 0)),
  0
)</f>
        <v>0</v>
      </c>
      <c r="S284">
        <f>IFERROR(
  INDEX(Campaign!$C$2:$C$100, MATCH(O284, Campaign!$E$2:$E$100, 0)),
  0
)</f>
        <v>0</v>
      </c>
      <c r="T284" t="str">
        <f t="shared" si="19"/>
        <v/>
      </c>
      <c r="U284">
        <f t="shared" si="20"/>
        <v>5.8243321401216137E-2</v>
      </c>
      <c r="V284" s="40">
        <f>IFERROR(
  INDEX(Campaign!$A$2:$A$100, MATCH(M288, Campaign!$E$2:$E$100, 0)),
  ""
)</f>
        <v>45488</v>
      </c>
      <c r="W284" t="str">
        <f t="shared" si="21"/>
        <v>Before</v>
      </c>
      <c r="X284" s="19"/>
    </row>
    <row r="285" spans="1:24">
      <c r="A285" s="4" t="s">
        <v>339</v>
      </c>
      <c r="B285" s="4" t="s">
        <v>13</v>
      </c>
      <c r="C285" s="5">
        <v>45552</v>
      </c>
      <c r="D285" s="4" t="s">
        <v>20</v>
      </c>
      <c r="E285" s="4" t="s">
        <v>21</v>
      </c>
      <c r="F285" s="6">
        <v>571</v>
      </c>
      <c r="G285" s="6">
        <v>190</v>
      </c>
      <c r="H285" s="6">
        <v>352</v>
      </c>
      <c r="I285" s="6">
        <v>9707</v>
      </c>
      <c r="J285" s="6">
        <f t="shared" si="18"/>
        <v>1344</v>
      </c>
      <c r="K285" s="6">
        <v>9418</v>
      </c>
      <c r="L285" s="6">
        <v>231</v>
      </c>
      <c r="M285" s="16" t="s">
        <v>22</v>
      </c>
      <c r="N285" s="17"/>
      <c r="O285" s="17"/>
      <c r="P285" s="4" t="s">
        <v>34</v>
      </c>
      <c r="Q285">
        <f>IFERROR(
  INDEX(Campaign!$C$2:$C$100, MATCH(M285, Campaign!$E$2:$E$100, 0)),
  0
)</f>
        <v>0</v>
      </c>
      <c r="R285" s="25">
        <f>IFERROR(
  INDEX(Campaign!$C$2:$C$100, MATCH(N285, Campaign!$E$2:$E$100, 0)),
  0
)</f>
        <v>0</v>
      </c>
      <c r="S285">
        <f>IFERROR(
  INDEX(Campaign!$C$2:$C$100, MATCH(O285, Campaign!$E$2:$E$100, 0)),
  0
)</f>
        <v>0</v>
      </c>
      <c r="T285" t="str">
        <f t="shared" si="19"/>
        <v/>
      </c>
      <c r="U285">
        <f t="shared" si="20"/>
        <v>0.11465952405480581</v>
      </c>
      <c r="V285" s="40" t="str">
        <f>IFERROR(
  INDEX(Campaign!$A$2:$A$100, MATCH(M289, Campaign!$E$2:$E$100, 0)),
  ""
)</f>
        <v/>
      </c>
      <c r="W285" t="str">
        <f t="shared" si="21"/>
        <v>Before</v>
      </c>
      <c r="X285" s="19"/>
    </row>
    <row r="286" spans="1:24">
      <c r="A286" s="4" t="s">
        <v>340</v>
      </c>
      <c r="B286" s="4" t="s">
        <v>26</v>
      </c>
      <c r="C286" s="5">
        <v>45491</v>
      </c>
      <c r="D286" s="4" t="s">
        <v>20</v>
      </c>
      <c r="E286" s="4" t="s">
        <v>74</v>
      </c>
      <c r="F286" s="6">
        <v>4021</v>
      </c>
      <c r="G286" s="6">
        <v>794</v>
      </c>
      <c r="H286" s="6">
        <v>77</v>
      </c>
      <c r="I286" s="6">
        <v>36189</v>
      </c>
      <c r="J286" s="6">
        <f t="shared" si="18"/>
        <v>5066</v>
      </c>
      <c r="K286" s="6">
        <v>35505</v>
      </c>
      <c r="L286" s="6">
        <v>174</v>
      </c>
      <c r="M286" s="16" t="s">
        <v>33</v>
      </c>
      <c r="N286" s="17"/>
      <c r="O286" s="17"/>
      <c r="P286" s="7"/>
      <c r="Q286">
        <f>IFERROR(
  INDEX(Campaign!$C$2:$C$100, MATCH(M286, Campaign!$E$2:$E$100, 0)),
  0
)</f>
        <v>150000</v>
      </c>
      <c r="R286" s="25">
        <f>IFERROR(
  INDEX(Campaign!$C$2:$C$100, MATCH(N286, Campaign!$E$2:$E$100, 0)),
  0
)</f>
        <v>0</v>
      </c>
      <c r="S286">
        <f>IFERROR(
  INDEX(Campaign!$C$2:$C$100, MATCH(O286, Campaign!$E$2:$E$100, 0)),
  0
)</f>
        <v>0</v>
      </c>
      <c r="T286">
        <f t="shared" si="19"/>
        <v>3.3773333333333336E-2</v>
      </c>
      <c r="U286">
        <f t="shared" si="20"/>
        <v>0.13517919809886983</v>
      </c>
      <c r="V286" s="40" t="str">
        <f>IFERROR(
  INDEX(Campaign!$A$2:$A$100, MATCH(M290, Campaign!$E$2:$E$100, 0)),
  ""
)</f>
        <v/>
      </c>
      <c r="W286" t="str">
        <f t="shared" si="21"/>
        <v>Before</v>
      </c>
      <c r="X286" s="19"/>
    </row>
    <row r="287" spans="1:24">
      <c r="A287" s="4" t="s">
        <v>341</v>
      </c>
      <c r="B287" s="4" t="s">
        <v>26</v>
      </c>
      <c r="C287" s="5">
        <v>45560</v>
      </c>
      <c r="D287" s="4" t="s">
        <v>57</v>
      </c>
      <c r="E287" s="4" t="s">
        <v>137</v>
      </c>
      <c r="F287" s="6">
        <v>3389</v>
      </c>
      <c r="G287" s="6">
        <v>344</v>
      </c>
      <c r="H287" s="6">
        <v>229</v>
      </c>
      <c r="I287" s="6">
        <v>20334</v>
      </c>
      <c r="J287" s="6">
        <f t="shared" si="18"/>
        <v>4190</v>
      </c>
      <c r="K287" s="6">
        <v>19443</v>
      </c>
      <c r="L287" s="6">
        <v>228</v>
      </c>
      <c r="M287" s="16" t="s">
        <v>16</v>
      </c>
      <c r="N287" s="17"/>
      <c r="O287" s="17"/>
      <c r="P287" s="4" t="s">
        <v>28</v>
      </c>
      <c r="Q287">
        <f>IFERROR(
  INDEX(Campaign!$C$2:$C$100, MATCH(M287, Campaign!$E$2:$E$100, 0)),
  0
)</f>
        <v>0</v>
      </c>
      <c r="R287" s="25">
        <f>IFERROR(
  INDEX(Campaign!$C$2:$C$100, MATCH(N287, Campaign!$E$2:$E$100, 0)),
  0
)</f>
        <v>0</v>
      </c>
      <c r="S287">
        <f>IFERROR(
  INDEX(Campaign!$C$2:$C$100, MATCH(O287, Campaign!$E$2:$E$100, 0)),
  0
)</f>
        <v>0</v>
      </c>
      <c r="T287" t="str">
        <f t="shared" si="19"/>
        <v/>
      </c>
      <c r="U287">
        <f t="shared" si="20"/>
        <v>0.19484607062063539</v>
      </c>
      <c r="V287" s="40">
        <f>IFERROR(
  INDEX(Campaign!$A$2:$A$100, MATCH(M291, Campaign!$E$2:$E$100, 0)),
  ""
)</f>
        <v>45488</v>
      </c>
      <c r="W287" t="str">
        <f t="shared" si="21"/>
        <v>Before</v>
      </c>
      <c r="X287" s="19"/>
    </row>
    <row r="288" spans="1:24">
      <c r="A288" s="4" t="s">
        <v>342</v>
      </c>
      <c r="B288" s="4" t="s">
        <v>30</v>
      </c>
      <c r="C288" s="5">
        <v>45519</v>
      </c>
      <c r="D288" s="4" t="s">
        <v>14</v>
      </c>
      <c r="E288" s="4" t="s">
        <v>62</v>
      </c>
      <c r="F288" s="6">
        <v>1164</v>
      </c>
      <c r="G288" s="6">
        <v>616</v>
      </c>
      <c r="H288" s="6">
        <v>324</v>
      </c>
      <c r="I288" s="6">
        <v>6984</v>
      </c>
      <c r="J288" s="6">
        <f t="shared" si="18"/>
        <v>2186</v>
      </c>
      <c r="K288" s="6">
        <v>6636</v>
      </c>
      <c r="L288" s="6">
        <v>82</v>
      </c>
      <c r="M288" s="16" t="s">
        <v>33</v>
      </c>
      <c r="N288" s="17"/>
      <c r="O288" s="17"/>
      <c r="P288" s="4" t="s">
        <v>18</v>
      </c>
      <c r="Q288">
        <f>IFERROR(
  INDEX(Campaign!$C$2:$C$100, MATCH(M288, Campaign!$E$2:$E$100, 0)),
  0
)</f>
        <v>150000</v>
      </c>
      <c r="R288" s="25">
        <f>IFERROR(
  INDEX(Campaign!$C$2:$C$100, MATCH(N288, Campaign!$E$2:$E$100, 0)),
  0
)</f>
        <v>0</v>
      </c>
      <c r="S288">
        <f>IFERROR(
  INDEX(Campaign!$C$2:$C$100, MATCH(O288, Campaign!$E$2:$E$100, 0)),
  0
)</f>
        <v>0</v>
      </c>
      <c r="T288">
        <f t="shared" si="19"/>
        <v>1.4573333333333334E-2</v>
      </c>
      <c r="U288">
        <f t="shared" si="20"/>
        <v>0.30126002290950743</v>
      </c>
      <c r="V288" s="40">
        <f>IFERROR(
  INDEX(Campaign!$A$2:$A$100, MATCH(M292, Campaign!$E$2:$E$100, 0)),
  ""
)</f>
        <v>45488</v>
      </c>
      <c r="W288" t="str">
        <f t="shared" si="21"/>
        <v>Before</v>
      </c>
      <c r="X288" s="19"/>
    </row>
    <row r="289" spans="1:24">
      <c r="A289" s="4" t="s">
        <v>343</v>
      </c>
      <c r="B289" s="4" t="s">
        <v>26</v>
      </c>
      <c r="C289" s="5">
        <v>45764</v>
      </c>
      <c r="D289" s="4" t="s">
        <v>38</v>
      </c>
      <c r="E289" s="4" t="s">
        <v>53</v>
      </c>
      <c r="F289" s="6">
        <v>4780</v>
      </c>
      <c r="G289" s="6">
        <v>691</v>
      </c>
      <c r="H289" s="6">
        <v>380</v>
      </c>
      <c r="I289" s="6">
        <v>86040</v>
      </c>
      <c r="J289" s="6">
        <f t="shared" si="18"/>
        <v>6113</v>
      </c>
      <c r="K289" s="6">
        <v>85743</v>
      </c>
      <c r="L289" s="6">
        <v>262</v>
      </c>
      <c r="M289" s="16" t="s">
        <v>16</v>
      </c>
      <c r="N289" s="17"/>
      <c r="O289" s="17"/>
      <c r="P289" s="4" t="s">
        <v>28</v>
      </c>
      <c r="Q289">
        <f>IFERROR(
  INDEX(Campaign!$C$2:$C$100, MATCH(M289, Campaign!$E$2:$E$100, 0)),
  0
)</f>
        <v>0</v>
      </c>
      <c r="R289" s="25">
        <f>IFERROR(
  INDEX(Campaign!$C$2:$C$100, MATCH(N289, Campaign!$E$2:$E$100, 0)),
  0
)</f>
        <v>0</v>
      </c>
      <c r="S289">
        <f>IFERROR(
  INDEX(Campaign!$C$2:$C$100, MATCH(O289, Campaign!$E$2:$E$100, 0)),
  0
)</f>
        <v>0</v>
      </c>
      <c r="T289" t="str">
        <f t="shared" si="19"/>
        <v/>
      </c>
      <c r="U289">
        <f t="shared" si="20"/>
        <v>6.800325430032543E-2</v>
      </c>
      <c r="V289" s="40" t="str">
        <f>IFERROR(
  INDEX(Campaign!$A$2:$A$100, MATCH(M293, Campaign!$E$2:$E$100, 0)),
  ""
)</f>
        <v/>
      </c>
      <c r="W289" t="str">
        <f t="shared" si="21"/>
        <v>Before</v>
      </c>
      <c r="X289" s="19"/>
    </row>
    <row r="290" spans="1:24">
      <c r="A290" s="4" t="s">
        <v>344</v>
      </c>
      <c r="B290" s="4" t="s">
        <v>37</v>
      </c>
      <c r="C290" s="5">
        <v>45624</v>
      </c>
      <c r="D290" s="4" t="s">
        <v>38</v>
      </c>
      <c r="E290" s="4" t="s">
        <v>39</v>
      </c>
      <c r="F290" s="6">
        <v>2751</v>
      </c>
      <c r="G290" s="6">
        <v>33</v>
      </c>
      <c r="H290" s="6">
        <v>430</v>
      </c>
      <c r="I290" s="6">
        <v>44016</v>
      </c>
      <c r="J290" s="6">
        <f t="shared" si="18"/>
        <v>3343</v>
      </c>
      <c r="K290" s="6">
        <v>43415</v>
      </c>
      <c r="L290" s="6">
        <v>129</v>
      </c>
      <c r="M290" s="16" t="s">
        <v>16</v>
      </c>
      <c r="N290" s="17"/>
      <c r="O290" s="17"/>
      <c r="P290" s="7"/>
      <c r="Q290">
        <f>IFERROR(
  INDEX(Campaign!$C$2:$C$100, MATCH(M290, Campaign!$E$2:$E$100, 0)),
  0
)</f>
        <v>0</v>
      </c>
      <c r="R290" s="25">
        <f>IFERROR(
  INDEX(Campaign!$C$2:$C$100, MATCH(N290, Campaign!$E$2:$E$100, 0)),
  0
)</f>
        <v>0</v>
      </c>
      <c r="S290">
        <f>IFERROR(
  INDEX(Campaign!$C$2:$C$100, MATCH(O290, Campaign!$E$2:$E$100, 0)),
  0
)</f>
        <v>0</v>
      </c>
      <c r="T290" t="str">
        <f t="shared" si="19"/>
        <v/>
      </c>
      <c r="U290">
        <f t="shared" si="20"/>
        <v>7.3018902217375503E-2</v>
      </c>
      <c r="V290" s="40">
        <f>IFERROR(
  INDEX(Campaign!$A$2:$A$100, MATCH(M294, Campaign!$E$2:$E$100, 0)),
  ""
)</f>
        <v>45488</v>
      </c>
      <c r="W290" t="str">
        <f t="shared" si="21"/>
        <v>Before</v>
      </c>
      <c r="X290" s="19"/>
    </row>
    <row r="291" spans="1:24">
      <c r="A291" s="4" t="s">
        <v>345</v>
      </c>
      <c r="B291" s="4" t="s">
        <v>30</v>
      </c>
      <c r="C291" s="5">
        <v>45646</v>
      </c>
      <c r="D291" s="4" t="s">
        <v>38</v>
      </c>
      <c r="E291" s="4" t="s">
        <v>66</v>
      </c>
      <c r="F291" s="6">
        <v>2107</v>
      </c>
      <c r="G291" s="6">
        <v>550</v>
      </c>
      <c r="H291" s="6">
        <v>349</v>
      </c>
      <c r="I291" s="6">
        <v>35819</v>
      </c>
      <c r="J291" s="6">
        <f t="shared" si="18"/>
        <v>3197</v>
      </c>
      <c r="K291" s="6">
        <v>35340</v>
      </c>
      <c r="L291" s="6">
        <v>191</v>
      </c>
      <c r="M291" s="16" t="s">
        <v>33</v>
      </c>
      <c r="N291" s="17"/>
      <c r="O291" s="17"/>
      <c r="P291" s="4" t="s">
        <v>34</v>
      </c>
      <c r="Q291">
        <f>IFERROR(
  INDEX(Campaign!$C$2:$C$100, MATCH(M291, Campaign!$E$2:$E$100, 0)),
  0
)</f>
        <v>150000</v>
      </c>
      <c r="R291" s="25">
        <f>IFERROR(
  INDEX(Campaign!$C$2:$C$100, MATCH(N291, Campaign!$E$2:$E$100, 0)),
  0
)</f>
        <v>0</v>
      </c>
      <c r="S291">
        <f>IFERROR(
  INDEX(Campaign!$C$2:$C$100, MATCH(O291, Campaign!$E$2:$E$100, 0)),
  0
)</f>
        <v>0</v>
      </c>
      <c r="T291">
        <f t="shared" si="19"/>
        <v>2.1313333333333333E-2</v>
      </c>
      <c r="U291">
        <f t="shared" si="20"/>
        <v>8.3921940869371006E-2</v>
      </c>
      <c r="V291" s="40">
        <f>IFERROR(
  INDEX(Campaign!$A$2:$A$100, MATCH(M295, Campaign!$E$2:$E$100, 0)),
  ""
)</f>
        <v>45488</v>
      </c>
      <c r="W291" t="str">
        <f t="shared" si="21"/>
        <v>Before</v>
      </c>
      <c r="X291" s="19"/>
    </row>
    <row r="292" spans="1:24">
      <c r="A292" s="4" t="s">
        <v>346</v>
      </c>
      <c r="B292" s="4" t="s">
        <v>37</v>
      </c>
      <c r="C292" s="5">
        <v>45602</v>
      </c>
      <c r="D292" s="4" t="s">
        <v>57</v>
      </c>
      <c r="E292" s="4" t="s">
        <v>58</v>
      </c>
      <c r="F292" s="6">
        <v>4663</v>
      </c>
      <c r="G292" s="6">
        <v>145</v>
      </c>
      <c r="H292" s="6">
        <v>225</v>
      </c>
      <c r="I292" s="6">
        <v>69945</v>
      </c>
      <c r="J292" s="6">
        <f t="shared" si="18"/>
        <v>5068</v>
      </c>
      <c r="K292" s="6">
        <v>69596</v>
      </c>
      <c r="L292" s="6">
        <v>35</v>
      </c>
      <c r="M292" s="16" t="s">
        <v>33</v>
      </c>
      <c r="N292" s="17"/>
      <c r="O292" s="17"/>
      <c r="P292" s="4" t="s">
        <v>34</v>
      </c>
      <c r="Q292">
        <f>IFERROR(
  INDEX(Campaign!$C$2:$C$100, MATCH(M292, Campaign!$E$2:$E$100, 0)),
  0
)</f>
        <v>150000</v>
      </c>
      <c r="R292" s="25">
        <f>IFERROR(
  INDEX(Campaign!$C$2:$C$100, MATCH(N292, Campaign!$E$2:$E$100, 0)),
  0
)</f>
        <v>0</v>
      </c>
      <c r="S292">
        <f>IFERROR(
  INDEX(Campaign!$C$2:$C$100, MATCH(O292, Campaign!$E$2:$E$100, 0)),
  0
)</f>
        <v>0</v>
      </c>
      <c r="T292">
        <f t="shared" si="19"/>
        <v>3.3786666666666666E-2</v>
      </c>
      <c r="U292">
        <f t="shared" si="20"/>
        <v>7.1956537279290869E-2</v>
      </c>
      <c r="V292" s="40" t="str">
        <f>IFERROR(
  INDEX(Campaign!$A$2:$A$100, MATCH(M296, Campaign!$E$2:$E$100, 0)),
  ""
)</f>
        <v/>
      </c>
      <c r="W292" t="str">
        <f t="shared" si="21"/>
        <v>Before</v>
      </c>
      <c r="X292" s="19"/>
    </row>
    <row r="293" spans="1:24">
      <c r="A293" s="4" t="s">
        <v>347</v>
      </c>
      <c r="B293" s="4" t="s">
        <v>37</v>
      </c>
      <c r="C293" s="5">
        <v>45613</v>
      </c>
      <c r="D293" s="4" t="s">
        <v>20</v>
      </c>
      <c r="E293" s="4" t="s">
        <v>46</v>
      </c>
      <c r="F293" s="6">
        <v>880</v>
      </c>
      <c r="G293" s="6">
        <v>297</v>
      </c>
      <c r="H293" s="6">
        <v>345</v>
      </c>
      <c r="I293" s="6">
        <v>12320</v>
      </c>
      <c r="J293" s="6">
        <f t="shared" si="18"/>
        <v>1760</v>
      </c>
      <c r="K293" s="6">
        <v>11978</v>
      </c>
      <c r="L293" s="6">
        <v>238</v>
      </c>
      <c r="M293" s="16" t="s">
        <v>22</v>
      </c>
      <c r="N293" s="17" t="s">
        <v>17</v>
      </c>
      <c r="O293" s="17"/>
      <c r="P293" s="7"/>
      <c r="Q293">
        <f>IFERROR(
  INDEX(Campaign!$C$2:$C$100, MATCH(M293, Campaign!$E$2:$E$100, 0)),
  0
)</f>
        <v>0</v>
      </c>
      <c r="R293" s="25">
        <f>IFERROR(
  INDEX(Campaign!$C$2:$C$100, MATCH(N293, Campaign!$E$2:$E$100, 0)),
  0
)</f>
        <v>200000</v>
      </c>
      <c r="S293">
        <f>IFERROR(
  INDEX(Campaign!$C$2:$C$100, MATCH(O293, Campaign!$E$2:$E$100, 0)),
  0
)</f>
        <v>0</v>
      </c>
      <c r="T293">
        <f t="shared" si="19"/>
        <v>8.8000000000000005E-3</v>
      </c>
      <c r="U293">
        <f t="shared" si="20"/>
        <v>0.12353896103896105</v>
      </c>
      <c r="V293" s="40" t="str">
        <f>IFERROR(
  INDEX(Campaign!$A$2:$A$100, MATCH(M297, Campaign!$E$2:$E$100, 0)),
  ""
)</f>
        <v/>
      </c>
      <c r="W293" t="str">
        <f t="shared" si="21"/>
        <v>Before</v>
      </c>
      <c r="X293" s="19"/>
    </row>
    <row r="294" spans="1:24">
      <c r="A294" s="4" t="s">
        <v>348</v>
      </c>
      <c r="B294" s="4" t="s">
        <v>37</v>
      </c>
      <c r="C294" s="5">
        <v>45791</v>
      </c>
      <c r="D294" s="4" t="s">
        <v>20</v>
      </c>
      <c r="E294" s="4" t="s">
        <v>46</v>
      </c>
      <c r="F294" s="6">
        <v>2634</v>
      </c>
      <c r="G294" s="6">
        <v>726</v>
      </c>
      <c r="H294" s="6">
        <v>241</v>
      </c>
      <c r="I294" s="6">
        <v>28974</v>
      </c>
      <c r="J294" s="6">
        <f t="shared" si="18"/>
        <v>3878</v>
      </c>
      <c r="K294" s="6">
        <v>28102</v>
      </c>
      <c r="L294" s="6">
        <v>277</v>
      </c>
      <c r="M294" s="16" t="s">
        <v>33</v>
      </c>
      <c r="N294" s="17"/>
      <c r="O294" s="17"/>
      <c r="P294" s="4" t="s">
        <v>18</v>
      </c>
      <c r="Q294">
        <f>IFERROR(
  INDEX(Campaign!$C$2:$C$100, MATCH(M294, Campaign!$E$2:$E$100, 0)),
  0
)</f>
        <v>150000</v>
      </c>
      <c r="R294" s="25">
        <f>IFERROR(
  INDEX(Campaign!$C$2:$C$100, MATCH(N294, Campaign!$E$2:$E$100, 0)),
  0
)</f>
        <v>0</v>
      </c>
      <c r="S294">
        <f>IFERROR(
  INDEX(Campaign!$C$2:$C$100, MATCH(O294, Campaign!$E$2:$E$100, 0)),
  0
)</f>
        <v>0</v>
      </c>
      <c r="T294">
        <f t="shared" si="19"/>
        <v>2.5853333333333332E-2</v>
      </c>
      <c r="U294">
        <f t="shared" si="20"/>
        <v>0.12428384068475185</v>
      </c>
      <c r="V294" s="40">
        <f>IFERROR(
  INDEX(Campaign!$A$2:$A$100, MATCH(M298, Campaign!$E$2:$E$100, 0)),
  ""
)</f>
        <v>45488</v>
      </c>
      <c r="W294" t="str">
        <f t="shared" si="21"/>
        <v>Before</v>
      </c>
      <c r="X294" s="19"/>
    </row>
    <row r="295" spans="1:24">
      <c r="A295" s="4" t="s">
        <v>349</v>
      </c>
      <c r="B295" s="4" t="s">
        <v>37</v>
      </c>
      <c r="C295" s="5">
        <v>45462</v>
      </c>
      <c r="D295" s="4" t="s">
        <v>38</v>
      </c>
      <c r="E295" s="4" t="s">
        <v>39</v>
      </c>
      <c r="F295" s="6">
        <v>4731</v>
      </c>
      <c r="G295" s="6">
        <v>173</v>
      </c>
      <c r="H295" s="6">
        <v>276</v>
      </c>
      <c r="I295" s="6">
        <v>28386</v>
      </c>
      <c r="J295" s="6">
        <f t="shared" si="18"/>
        <v>5269</v>
      </c>
      <c r="K295" s="6">
        <v>28185</v>
      </c>
      <c r="L295" s="6">
        <v>89</v>
      </c>
      <c r="M295" s="16" t="s">
        <v>33</v>
      </c>
      <c r="N295" s="17"/>
      <c r="O295" s="17"/>
      <c r="P295" s="4" t="s">
        <v>28</v>
      </c>
      <c r="Q295">
        <f>IFERROR(
  INDEX(Campaign!$C$2:$C$100, MATCH(M295, Campaign!$E$2:$E$100, 0)),
  0
)</f>
        <v>150000</v>
      </c>
      <c r="R295" s="25">
        <f>IFERROR(
  INDEX(Campaign!$C$2:$C$100, MATCH(N295, Campaign!$E$2:$E$100, 0)),
  0
)</f>
        <v>0</v>
      </c>
      <c r="S295">
        <f>IFERROR(
  INDEX(Campaign!$C$2:$C$100, MATCH(O295, Campaign!$E$2:$E$100, 0)),
  0
)</f>
        <v>0</v>
      </c>
      <c r="T295">
        <f t="shared" si="19"/>
        <v>3.5126666666666667E-2</v>
      </c>
      <c r="U295">
        <f t="shared" si="20"/>
        <v>0.18248432325794406</v>
      </c>
      <c r="V295" s="40" t="str">
        <f>IFERROR(
  INDEX(Campaign!$A$2:$A$100, MATCH(M299, Campaign!$E$2:$E$100, 0)),
  ""
)</f>
        <v/>
      </c>
      <c r="W295" t="str">
        <f t="shared" si="21"/>
        <v>Before</v>
      </c>
      <c r="X295" s="19"/>
    </row>
    <row r="296" spans="1:24">
      <c r="A296" s="4" t="s">
        <v>350</v>
      </c>
      <c r="B296" s="4" t="s">
        <v>13</v>
      </c>
      <c r="C296" s="5">
        <v>45783</v>
      </c>
      <c r="D296" s="4" t="s">
        <v>43</v>
      </c>
      <c r="E296" s="4" t="s">
        <v>89</v>
      </c>
      <c r="F296" s="6">
        <v>1952</v>
      </c>
      <c r="G296" s="6">
        <v>344</v>
      </c>
      <c r="H296" s="6">
        <v>287</v>
      </c>
      <c r="I296" s="6">
        <v>15616</v>
      </c>
      <c r="J296" s="6">
        <f t="shared" si="18"/>
        <v>2818</v>
      </c>
      <c r="K296" s="6">
        <v>15403</v>
      </c>
      <c r="L296" s="6">
        <v>235</v>
      </c>
      <c r="M296" s="16" t="s">
        <v>16</v>
      </c>
      <c r="N296" s="17" t="s">
        <v>22</v>
      </c>
      <c r="O296" s="17" t="s">
        <v>17</v>
      </c>
      <c r="P296" s="4" t="s">
        <v>24</v>
      </c>
      <c r="Q296">
        <f>IFERROR(
  INDEX(Campaign!$C$2:$C$100, MATCH(M296, Campaign!$E$2:$E$100, 0)),
  0
)</f>
        <v>0</v>
      </c>
      <c r="R296" s="25">
        <f>IFERROR(
  INDEX(Campaign!$C$2:$C$100, MATCH(N296, Campaign!$E$2:$E$100, 0)),
  0
)</f>
        <v>0</v>
      </c>
      <c r="S296">
        <f>IFERROR(
  INDEX(Campaign!$C$2:$C$100, MATCH(O296, Campaign!$E$2:$E$100, 0)),
  0
)</f>
        <v>200000</v>
      </c>
      <c r="T296">
        <f t="shared" si="19"/>
        <v>1.409E-2</v>
      </c>
      <c r="U296">
        <f t="shared" si="20"/>
        <v>0.16540727459016394</v>
      </c>
      <c r="V296" s="40" t="str">
        <f>IFERROR(
  INDEX(Campaign!$A$2:$A$100, MATCH(M300, Campaign!$E$2:$E$100, 0)),
  ""
)</f>
        <v/>
      </c>
      <c r="W296" t="str">
        <f t="shared" si="21"/>
        <v>During</v>
      </c>
      <c r="X296" s="19"/>
    </row>
    <row r="297" spans="1:24">
      <c r="A297" s="4" t="s">
        <v>351</v>
      </c>
      <c r="B297" s="4" t="s">
        <v>13</v>
      </c>
      <c r="C297" s="5">
        <v>45699</v>
      </c>
      <c r="D297" s="4" t="s">
        <v>57</v>
      </c>
      <c r="E297" s="4" t="s">
        <v>96</v>
      </c>
      <c r="F297" s="6">
        <v>3440</v>
      </c>
      <c r="G297" s="6">
        <v>13</v>
      </c>
      <c r="H297" s="6">
        <v>20</v>
      </c>
      <c r="I297" s="6">
        <v>58480</v>
      </c>
      <c r="J297" s="6">
        <f t="shared" si="18"/>
        <v>3683</v>
      </c>
      <c r="K297" s="6">
        <v>58146</v>
      </c>
      <c r="L297" s="6">
        <v>210</v>
      </c>
      <c r="M297" s="16" t="s">
        <v>22</v>
      </c>
      <c r="N297" s="17" t="s">
        <v>195</v>
      </c>
      <c r="O297" s="17"/>
      <c r="P297" s="4" t="s">
        <v>34</v>
      </c>
      <c r="Q297">
        <f>IFERROR(
  INDEX(Campaign!$C$2:$C$100, MATCH(M297, Campaign!$E$2:$E$100, 0)),
  0
)</f>
        <v>0</v>
      </c>
      <c r="R297" s="25">
        <f>IFERROR(
  INDEX(Campaign!$C$2:$C$100, MATCH(N297, Campaign!$E$2:$E$100, 0)),
  0
)</f>
        <v>250000</v>
      </c>
      <c r="S297">
        <f>IFERROR(
  INDEX(Campaign!$C$2:$C$100, MATCH(O297, Campaign!$E$2:$E$100, 0)),
  0
)</f>
        <v>0</v>
      </c>
      <c r="T297">
        <f t="shared" si="19"/>
        <v>1.4732E-2</v>
      </c>
      <c r="U297">
        <f t="shared" si="20"/>
        <v>5.9387824897400819E-2</v>
      </c>
      <c r="V297" s="40" t="str">
        <f>IFERROR(
  INDEX(Campaign!$A$2:$A$100, MATCH(M301, Campaign!$E$2:$E$100, 0)),
  ""
)</f>
        <v/>
      </c>
      <c r="W297" t="str">
        <f t="shared" si="21"/>
        <v>Before</v>
      </c>
      <c r="X297" s="19"/>
    </row>
    <row r="298" spans="1:24">
      <c r="A298" s="4" t="s">
        <v>352</v>
      </c>
      <c r="B298" s="4" t="s">
        <v>13</v>
      </c>
      <c r="C298" s="5">
        <v>45650</v>
      </c>
      <c r="D298" s="4" t="s">
        <v>20</v>
      </c>
      <c r="E298" s="4" t="s">
        <v>21</v>
      </c>
      <c r="F298" s="6">
        <v>2166</v>
      </c>
      <c r="G298" s="6">
        <v>354</v>
      </c>
      <c r="H298" s="6">
        <v>117</v>
      </c>
      <c r="I298" s="6">
        <v>10830</v>
      </c>
      <c r="J298" s="6">
        <f t="shared" si="18"/>
        <v>2661</v>
      </c>
      <c r="K298" s="6">
        <v>10245</v>
      </c>
      <c r="L298" s="6">
        <v>24</v>
      </c>
      <c r="M298" s="16" t="s">
        <v>33</v>
      </c>
      <c r="N298" s="17"/>
      <c r="O298" s="17"/>
      <c r="P298" s="4" t="s">
        <v>34</v>
      </c>
      <c r="Q298">
        <f>IFERROR(
  INDEX(Campaign!$C$2:$C$100, MATCH(M298, Campaign!$E$2:$E$100, 0)),
  0
)</f>
        <v>150000</v>
      </c>
      <c r="R298" s="25">
        <f>IFERROR(
  INDEX(Campaign!$C$2:$C$100, MATCH(N298, Campaign!$E$2:$E$100, 0)),
  0
)</f>
        <v>0</v>
      </c>
      <c r="S298">
        <f>IFERROR(
  INDEX(Campaign!$C$2:$C$100, MATCH(O298, Campaign!$E$2:$E$100, 0)),
  0
)</f>
        <v>0</v>
      </c>
      <c r="T298">
        <f t="shared" si="19"/>
        <v>1.7739999999999999E-2</v>
      </c>
      <c r="U298">
        <f t="shared" si="20"/>
        <v>0.24349030470914126</v>
      </c>
      <c r="V298" s="40" t="str">
        <f>IFERROR(
  INDEX(Campaign!$A$2:$A$100, MATCH(M302, Campaign!$E$2:$E$100, 0)),
  ""
)</f>
        <v/>
      </c>
      <c r="W298" t="str">
        <f t="shared" si="21"/>
        <v>Before</v>
      </c>
      <c r="X298" s="19"/>
    </row>
    <row r="299" spans="1:24">
      <c r="A299" s="4" t="s">
        <v>353</v>
      </c>
      <c r="B299" s="4" t="s">
        <v>37</v>
      </c>
      <c r="C299" s="5">
        <v>45589</v>
      </c>
      <c r="D299" s="4" t="s">
        <v>43</v>
      </c>
      <c r="E299" s="4" t="s">
        <v>48</v>
      </c>
      <c r="F299" s="6">
        <v>4303</v>
      </c>
      <c r="G299" s="6">
        <v>451</v>
      </c>
      <c r="H299" s="6">
        <v>286</v>
      </c>
      <c r="I299" s="6">
        <v>86060</v>
      </c>
      <c r="J299" s="6">
        <f t="shared" si="18"/>
        <v>5054</v>
      </c>
      <c r="K299" s="6">
        <v>85823</v>
      </c>
      <c r="L299" s="6">
        <v>14</v>
      </c>
      <c r="M299" s="16" t="s">
        <v>22</v>
      </c>
      <c r="N299" s="17"/>
      <c r="O299" s="17"/>
      <c r="P299" s="4" t="s">
        <v>28</v>
      </c>
      <c r="Q299">
        <f>IFERROR(
  INDEX(Campaign!$C$2:$C$100, MATCH(M299, Campaign!$E$2:$E$100, 0)),
  0
)</f>
        <v>0</v>
      </c>
      <c r="R299" s="25">
        <f>IFERROR(
  INDEX(Campaign!$C$2:$C$100, MATCH(N299, Campaign!$E$2:$E$100, 0)),
  0
)</f>
        <v>0</v>
      </c>
      <c r="S299">
        <f>IFERROR(
  INDEX(Campaign!$C$2:$C$100, MATCH(O299, Campaign!$E$2:$E$100, 0)),
  0
)</f>
        <v>0</v>
      </c>
      <c r="T299" t="str">
        <f t="shared" si="19"/>
        <v/>
      </c>
      <c r="U299">
        <f t="shared" si="20"/>
        <v>5.8563792702765516E-2</v>
      </c>
      <c r="V299" s="40" t="str">
        <f>IFERROR(
  INDEX(Campaign!$A$2:$A$100, MATCH(M303, Campaign!$E$2:$E$100, 0)),
  ""
)</f>
        <v/>
      </c>
      <c r="W299" t="str">
        <f t="shared" si="21"/>
        <v>Before</v>
      </c>
      <c r="X299" s="19"/>
    </row>
    <row r="300" spans="1:24">
      <c r="A300" s="4" t="s">
        <v>354</v>
      </c>
      <c r="B300" s="4" t="s">
        <v>37</v>
      </c>
      <c r="C300" s="5">
        <v>45530</v>
      </c>
      <c r="D300" s="4" t="s">
        <v>43</v>
      </c>
      <c r="E300" s="4" t="s">
        <v>48</v>
      </c>
      <c r="F300" s="6">
        <v>2581</v>
      </c>
      <c r="G300" s="6">
        <v>517</v>
      </c>
      <c r="H300" s="6">
        <v>117</v>
      </c>
      <c r="I300" s="6">
        <v>23229</v>
      </c>
      <c r="J300" s="6">
        <f t="shared" si="18"/>
        <v>3285</v>
      </c>
      <c r="K300" s="6">
        <v>22331</v>
      </c>
      <c r="L300" s="6">
        <v>70</v>
      </c>
      <c r="M300" s="16" t="s">
        <v>16</v>
      </c>
      <c r="N300" s="17"/>
      <c r="O300" s="17"/>
      <c r="P300" s="4" t="s">
        <v>28</v>
      </c>
      <c r="Q300">
        <f>IFERROR(
  INDEX(Campaign!$C$2:$C$100, MATCH(M300, Campaign!$E$2:$E$100, 0)),
  0
)</f>
        <v>0</v>
      </c>
      <c r="R300" s="25">
        <f>IFERROR(
  INDEX(Campaign!$C$2:$C$100, MATCH(N300, Campaign!$E$2:$E$100, 0)),
  0
)</f>
        <v>0</v>
      </c>
      <c r="S300">
        <f>IFERROR(
  INDEX(Campaign!$C$2:$C$100, MATCH(O300, Campaign!$E$2:$E$100, 0)),
  0
)</f>
        <v>0</v>
      </c>
      <c r="T300" t="str">
        <f t="shared" si="19"/>
        <v/>
      </c>
      <c r="U300">
        <f t="shared" si="20"/>
        <v>0.13840458048129492</v>
      </c>
      <c r="V300" s="40" t="str">
        <f>IFERROR(
  INDEX(Campaign!$A$2:$A$100, MATCH(M304, Campaign!$E$2:$E$100, 0)),
  ""
)</f>
        <v/>
      </c>
      <c r="W300" t="str">
        <f t="shared" si="21"/>
        <v>Before</v>
      </c>
      <c r="X300" s="19"/>
    </row>
    <row r="301" spans="1:24">
      <c r="A301" s="4" t="s">
        <v>355</v>
      </c>
      <c r="B301" s="4" t="s">
        <v>13</v>
      </c>
      <c r="C301" s="5">
        <v>45535</v>
      </c>
      <c r="D301" s="4" t="s">
        <v>38</v>
      </c>
      <c r="E301" s="4" t="s">
        <v>41</v>
      </c>
      <c r="F301" s="6">
        <v>4494</v>
      </c>
      <c r="G301" s="6">
        <v>717</v>
      </c>
      <c r="H301" s="6">
        <v>45</v>
      </c>
      <c r="I301" s="6">
        <v>62916</v>
      </c>
      <c r="J301" s="6">
        <f t="shared" si="18"/>
        <v>5447</v>
      </c>
      <c r="K301" s="6">
        <v>62688</v>
      </c>
      <c r="L301" s="6">
        <v>191</v>
      </c>
      <c r="M301" s="16" t="s">
        <v>22</v>
      </c>
      <c r="N301" s="17" t="s">
        <v>33</v>
      </c>
      <c r="O301" s="17" t="s">
        <v>23</v>
      </c>
      <c r="P301" s="4" t="s">
        <v>18</v>
      </c>
      <c r="Q301">
        <f>IFERROR(
  INDEX(Campaign!$C$2:$C$100, MATCH(M301, Campaign!$E$2:$E$100, 0)),
  0
)</f>
        <v>0</v>
      </c>
      <c r="R301" s="25">
        <f>IFERROR(
  INDEX(Campaign!$C$2:$C$100, MATCH(N301, Campaign!$E$2:$E$100, 0)),
  0
)</f>
        <v>150000</v>
      </c>
      <c r="S301">
        <f>IFERROR(
  INDEX(Campaign!$C$2:$C$100, MATCH(O301, Campaign!$E$2:$E$100, 0)),
  0
)</f>
        <v>180000</v>
      </c>
      <c r="T301">
        <f t="shared" si="19"/>
        <v>1.6506060606060607E-2</v>
      </c>
      <c r="U301">
        <f t="shared" si="20"/>
        <v>8.3539958039290485E-2</v>
      </c>
      <c r="V301" s="40" t="str">
        <f>IFERROR(
  INDEX(Campaign!$A$2:$A$100, MATCH(M305, Campaign!$E$2:$E$100, 0)),
  ""
)</f>
        <v/>
      </c>
      <c r="W301" t="str">
        <f t="shared" si="21"/>
        <v>During</v>
      </c>
      <c r="X301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F7-6CA3-3848-874A-AB67631AF0DB}">
  <dimension ref="A1:G201"/>
  <sheetViews>
    <sheetView workbookViewId="0">
      <selection sqref="A1:G1"/>
    </sheetView>
  </sheetViews>
  <sheetFormatPr baseColWidth="10" defaultRowHeight="16"/>
  <cols>
    <col min="1" max="1" width="16.83203125" customWidth="1"/>
    <col min="2" max="2" width="25.1640625" customWidth="1"/>
    <col min="3" max="3" width="16.1640625" customWidth="1"/>
    <col min="5" max="5" width="18.33203125" customWidth="1"/>
    <col min="6" max="6" width="23.5" customWidth="1"/>
    <col min="7" max="7" width="33.6640625" customWidth="1"/>
  </cols>
  <sheetData>
    <row r="1" spans="1:7">
      <c r="A1" s="1" t="s">
        <v>370</v>
      </c>
      <c r="B1" s="1" t="s">
        <v>1</v>
      </c>
      <c r="C1" s="3" t="s">
        <v>371</v>
      </c>
      <c r="D1" s="3" t="s">
        <v>372</v>
      </c>
      <c r="E1" s="3" t="s">
        <v>373</v>
      </c>
      <c r="F1" s="27" t="s">
        <v>374</v>
      </c>
      <c r="G1" s="1" t="s">
        <v>375</v>
      </c>
    </row>
    <row r="2" spans="1:7">
      <c r="A2" s="28">
        <v>45446</v>
      </c>
      <c r="B2" s="4" t="s">
        <v>30</v>
      </c>
      <c r="C2" s="6">
        <v>1135</v>
      </c>
      <c r="D2" s="6">
        <v>88</v>
      </c>
      <c r="E2" s="6">
        <v>344084</v>
      </c>
      <c r="F2" s="29">
        <v>8.06</v>
      </c>
      <c r="G2" s="30">
        <v>5904</v>
      </c>
    </row>
    <row r="3" spans="1:7">
      <c r="A3" s="28">
        <v>45446</v>
      </c>
      <c r="B3" s="4" t="s">
        <v>37</v>
      </c>
      <c r="C3" s="6">
        <v>1312</v>
      </c>
      <c r="D3" s="6">
        <v>310</v>
      </c>
      <c r="E3" s="6">
        <v>42654</v>
      </c>
      <c r="F3" s="29">
        <v>4.9800000000000004</v>
      </c>
      <c r="G3" s="30">
        <v>9566</v>
      </c>
    </row>
    <row r="4" spans="1:7">
      <c r="A4" s="28">
        <v>45446</v>
      </c>
      <c r="B4" s="4" t="s">
        <v>13</v>
      </c>
      <c r="C4" s="6">
        <v>584</v>
      </c>
      <c r="D4" s="6">
        <v>169</v>
      </c>
      <c r="E4" s="6">
        <v>146834</v>
      </c>
      <c r="F4" s="29">
        <v>8.31</v>
      </c>
      <c r="G4" s="30">
        <v>26752</v>
      </c>
    </row>
    <row r="5" spans="1:7">
      <c r="A5" s="28">
        <v>45446</v>
      </c>
      <c r="B5" s="4" t="s">
        <v>26</v>
      </c>
      <c r="C5" s="6">
        <v>1535</v>
      </c>
      <c r="D5" s="6">
        <v>445</v>
      </c>
      <c r="E5" s="6">
        <v>395536</v>
      </c>
      <c r="F5" s="29">
        <v>4.1100000000000003</v>
      </c>
      <c r="G5" s="30">
        <v>30671</v>
      </c>
    </row>
    <row r="6" spans="1:7">
      <c r="A6" s="28">
        <v>45453</v>
      </c>
      <c r="B6" s="4" t="s">
        <v>30</v>
      </c>
      <c r="C6" s="6">
        <v>656</v>
      </c>
      <c r="D6" s="6">
        <v>139</v>
      </c>
      <c r="E6" s="6">
        <v>49157</v>
      </c>
      <c r="F6" s="29">
        <v>9.0500000000000007</v>
      </c>
      <c r="G6" s="30">
        <v>9920</v>
      </c>
    </row>
    <row r="7" spans="1:7">
      <c r="A7" s="28">
        <v>45453</v>
      </c>
      <c r="B7" s="4" t="s">
        <v>37</v>
      </c>
      <c r="C7" s="6">
        <v>1697</v>
      </c>
      <c r="D7" s="6">
        <v>414</v>
      </c>
      <c r="E7" s="6">
        <v>316555</v>
      </c>
      <c r="F7" s="29">
        <v>2.37</v>
      </c>
      <c r="G7" s="30">
        <v>7924</v>
      </c>
    </row>
    <row r="8" spans="1:7">
      <c r="A8" s="28">
        <v>45453</v>
      </c>
      <c r="B8" s="4" t="s">
        <v>13</v>
      </c>
      <c r="C8" s="6">
        <v>436</v>
      </c>
      <c r="D8" s="6">
        <v>250</v>
      </c>
      <c r="E8" s="6">
        <v>254347</v>
      </c>
      <c r="F8" s="29">
        <v>4.01</v>
      </c>
      <c r="G8" s="30">
        <v>8912</v>
      </c>
    </row>
    <row r="9" spans="1:7">
      <c r="A9" s="28">
        <v>45453</v>
      </c>
      <c r="B9" s="4" t="s">
        <v>26</v>
      </c>
      <c r="C9" s="6">
        <v>1197</v>
      </c>
      <c r="D9" s="6">
        <v>203</v>
      </c>
      <c r="E9" s="6">
        <v>413878</v>
      </c>
      <c r="F9" s="29">
        <v>3.16</v>
      </c>
      <c r="G9" s="30">
        <v>21205</v>
      </c>
    </row>
    <row r="10" spans="1:7">
      <c r="A10" s="28">
        <v>45460</v>
      </c>
      <c r="B10" s="4" t="s">
        <v>30</v>
      </c>
      <c r="C10" s="6">
        <v>1048</v>
      </c>
      <c r="D10" s="6">
        <v>155</v>
      </c>
      <c r="E10" s="6">
        <v>456946</v>
      </c>
      <c r="F10" s="29">
        <v>2.46</v>
      </c>
      <c r="G10" s="30">
        <v>11329</v>
      </c>
    </row>
    <row r="11" spans="1:7">
      <c r="A11" s="28">
        <v>45460</v>
      </c>
      <c r="B11" s="4" t="s">
        <v>37</v>
      </c>
      <c r="C11" s="6">
        <v>1753</v>
      </c>
      <c r="D11" s="6">
        <v>371</v>
      </c>
      <c r="E11" s="6">
        <v>169496</v>
      </c>
      <c r="F11" s="29">
        <v>8.11</v>
      </c>
      <c r="G11" s="30">
        <v>46670</v>
      </c>
    </row>
    <row r="12" spans="1:7">
      <c r="A12" s="28">
        <v>45460</v>
      </c>
      <c r="B12" s="4" t="s">
        <v>13</v>
      </c>
      <c r="C12" s="6">
        <v>1335</v>
      </c>
      <c r="D12" s="6">
        <v>40</v>
      </c>
      <c r="E12" s="6">
        <v>122732</v>
      </c>
      <c r="F12" s="29">
        <v>8.19</v>
      </c>
      <c r="G12" s="30">
        <v>22482</v>
      </c>
    </row>
    <row r="13" spans="1:7">
      <c r="A13" s="28">
        <v>45460</v>
      </c>
      <c r="B13" s="4" t="s">
        <v>26</v>
      </c>
      <c r="C13" s="6">
        <v>403</v>
      </c>
      <c r="D13" s="6">
        <v>66</v>
      </c>
      <c r="E13" s="6">
        <v>382851</v>
      </c>
      <c r="F13" s="29">
        <v>3.49</v>
      </c>
      <c r="G13" s="30">
        <v>24313</v>
      </c>
    </row>
    <row r="14" spans="1:7">
      <c r="A14" s="28">
        <v>45467</v>
      </c>
      <c r="B14" s="4" t="s">
        <v>30</v>
      </c>
      <c r="C14" s="6">
        <v>911</v>
      </c>
      <c r="D14" s="6">
        <v>282</v>
      </c>
      <c r="E14" s="6">
        <v>35664</v>
      </c>
      <c r="F14" s="29">
        <v>6.92</v>
      </c>
      <c r="G14" s="30">
        <v>18050</v>
      </c>
    </row>
    <row r="15" spans="1:7">
      <c r="A15" s="28">
        <v>45467</v>
      </c>
      <c r="B15" s="4" t="s">
        <v>37</v>
      </c>
      <c r="C15" s="6">
        <v>1779</v>
      </c>
      <c r="D15" s="6">
        <v>109</v>
      </c>
      <c r="E15" s="6">
        <v>26295</v>
      </c>
      <c r="F15" s="29">
        <v>9.1199999999999992</v>
      </c>
      <c r="G15" s="30">
        <v>30635</v>
      </c>
    </row>
    <row r="16" spans="1:7">
      <c r="A16" s="28">
        <v>45467</v>
      </c>
      <c r="B16" s="4" t="s">
        <v>13</v>
      </c>
      <c r="C16" s="6">
        <v>1238</v>
      </c>
      <c r="D16" s="6">
        <v>403</v>
      </c>
      <c r="E16" s="6">
        <v>298421</v>
      </c>
      <c r="F16" s="29">
        <v>3.5</v>
      </c>
      <c r="G16" s="30">
        <v>31280</v>
      </c>
    </row>
    <row r="17" spans="1:7">
      <c r="A17" s="28">
        <v>45467</v>
      </c>
      <c r="B17" s="4" t="s">
        <v>26</v>
      </c>
      <c r="C17" s="6">
        <v>308</v>
      </c>
      <c r="D17" s="6">
        <v>431</v>
      </c>
      <c r="E17" s="6">
        <v>426184</v>
      </c>
      <c r="F17" s="29">
        <v>2.62</v>
      </c>
      <c r="G17" s="30">
        <v>1783</v>
      </c>
    </row>
    <row r="18" spans="1:7">
      <c r="A18" s="28">
        <v>45474</v>
      </c>
      <c r="B18" s="4" t="s">
        <v>30</v>
      </c>
      <c r="C18" s="6">
        <v>226</v>
      </c>
      <c r="D18" s="6">
        <v>445</v>
      </c>
      <c r="E18" s="6">
        <v>419447</v>
      </c>
      <c r="F18" s="29">
        <v>9.36</v>
      </c>
      <c r="G18" s="30">
        <v>9566</v>
      </c>
    </row>
    <row r="19" spans="1:7">
      <c r="A19" s="28">
        <v>45474</v>
      </c>
      <c r="B19" s="4" t="s">
        <v>37</v>
      </c>
      <c r="C19" s="6">
        <v>505</v>
      </c>
      <c r="D19" s="6">
        <v>441</v>
      </c>
      <c r="E19" s="6">
        <v>220020</v>
      </c>
      <c r="F19" s="29">
        <v>4.4800000000000004</v>
      </c>
      <c r="G19" s="30">
        <v>42307</v>
      </c>
    </row>
    <row r="20" spans="1:7">
      <c r="A20" s="28">
        <v>45474</v>
      </c>
      <c r="B20" s="4" t="s">
        <v>13</v>
      </c>
      <c r="C20" s="6">
        <v>1420</v>
      </c>
      <c r="D20" s="6">
        <v>63</v>
      </c>
      <c r="E20" s="6">
        <v>315305</v>
      </c>
      <c r="F20" s="29">
        <v>6.19</v>
      </c>
      <c r="G20" s="30">
        <v>5914</v>
      </c>
    </row>
    <row r="21" spans="1:7">
      <c r="A21" s="28">
        <v>45474</v>
      </c>
      <c r="B21" s="4" t="s">
        <v>26</v>
      </c>
      <c r="C21" s="6">
        <v>144</v>
      </c>
      <c r="D21" s="6">
        <v>53</v>
      </c>
      <c r="E21" s="6">
        <v>113678</v>
      </c>
      <c r="F21" s="29">
        <v>8.7200000000000006</v>
      </c>
      <c r="G21" s="30">
        <v>30060</v>
      </c>
    </row>
    <row r="22" spans="1:7">
      <c r="A22" s="28">
        <v>45481</v>
      </c>
      <c r="B22" s="4" t="s">
        <v>30</v>
      </c>
      <c r="C22" s="6">
        <v>1757</v>
      </c>
      <c r="D22" s="6">
        <v>85</v>
      </c>
      <c r="E22" s="6">
        <v>58223</v>
      </c>
      <c r="F22" s="29">
        <v>8.74</v>
      </c>
      <c r="G22" s="30">
        <v>22728</v>
      </c>
    </row>
    <row r="23" spans="1:7">
      <c r="A23" s="28">
        <v>45481</v>
      </c>
      <c r="B23" s="4" t="s">
        <v>37</v>
      </c>
      <c r="C23" s="6">
        <v>350</v>
      </c>
      <c r="D23" s="6">
        <v>41</v>
      </c>
      <c r="E23" s="6">
        <v>251694</v>
      </c>
      <c r="F23" s="29">
        <v>1.91</v>
      </c>
      <c r="G23" s="30">
        <v>38610</v>
      </c>
    </row>
    <row r="24" spans="1:7">
      <c r="A24" s="28">
        <v>45481</v>
      </c>
      <c r="B24" s="4" t="s">
        <v>13</v>
      </c>
      <c r="C24" s="6">
        <v>987</v>
      </c>
      <c r="D24" s="6">
        <v>440</v>
      </c>
      <c r="E24" s="6">
        <v>389810</v>
      </c>
      <c r="F24" s="29">
        <v>4.66</v>
      </c>
      <c r="G24" s="30">
        <v>2932</v>
      </c>
    </row>
    <row r="25" spans="1:7">
      <c r="A25" s="28">
        <v>45481</v>
      </c>
      <c r="B25" s="4" t="s">
        <v>26</v>
      </c>
      <c r="C25" s="6">
        <v>883</v>
      </c>
      <c r="D25" s="6">
        <v>369</v>
      </c>
      <c r="E25" s="6">
        <v>233694</v>
      </c>
      <c r="F25" s="29">
        <v>2.88</v>
      </c>
      <c r="G25" s="30">
        <v>15071</v>
      </c>
    </row>
    <row r="26" spans="1:7">
      <c r="A26" s="28">
        <v>45488</v>
      </c>
      <c r="B26" s="4" t="s">
        <v>30</v>
      </c>
      <c r="C26" s="6">
        <v>1960</v>
      </c>
      <c r="D26" s="6">
        <v>115</v>
      </c>
      <c r="E26" s="6">
        <v>154169</v>
      </c>
      <c r="F26" s="29">
        <v>3.74</v>
      </c>
      <c r="G26" s="30">
        <v>10740</v>
      </c>
    </row>
    <row r="27" spans="1:7">
      <c r="A27" s="28">
        <v>45488</v>
      </c>
      <c r="B27" s="4" t="s">
        <v>37</v>
      </c>
      <c r="C27" s="6">
        <v>170</v>
      </c>
      <c r="D27" s="6">
        <v>334</v>
      </c>
      <c r="E27" s="6">
        <v>334626</v>
      </c>
      <c r="F27" s="29">
        <v>6.44</v>
      </c>
      <c r="G27" s="30">
        <v>43420</v>
      </c>
    </row>
    <row r="28" spans="1:7">
      <c r="A28" s="28">
        <v>45488</v>
      </c>
      <c r="B28" s="4" t="s">
        <v>13</v>
      </c>
      <c r="C28" s="6">
        <v>704</v>
      </c>
      <c r="D28" s="6">
        <v>275</v>
      </c>
      <c r="E28" s="6">
        <v>226002</v>
      </c>
      <c r="F28" s="29">
        <v>8.56</v>
      </c>
      <c r="G28" s="30">
        <v>32393</v>
      </c>
    </row>
    <row r="29" spans="1:7">
      <c r="A29" s="28">
        <v>45488</v>
      </c>
      <c r="B29" s="4" t="s">
        <v>26</v>
      </c>
      <c r="C29" s="6">
        <v>224</v>
      </c>
      <c r="D29" s="6">
        <v>64</v>
      </c>
      <c r="E29" s="6">
        <v>156683</v>
      </c>
      <c r="F29" s="29">
        <v>4.5599999999999996</v>
      </c>
      <c r="G29" s="30">
        <v>28474</v>
      </c>
    </row>
    <row r="30" spans="1:7">
      <c r="A30" s="28">
        <v>45495</v>
      </c>
      <c r="B30" s="4" t="s">
        <v>30</v>
      </c>
      <c r="C30" s="6">
        <v>508</v>
      </c>
      <c r="D30" s="6">
        <v>349</v>
      </c>
      <c r="E30" s="6">
        <v>473812</v>
      </c>
      <c r="F30" s="29">
        <v>7.88</v>
      </c>
      <c r="G30" s="30">
        <v>17328</v>
      </c>
    </row>
    <row r="31" spans="1:7">
      <c r="A31" s="28">
        <v>45495</v>
      </c>
      <c r="B31" s="4" t="s">
        <v>37</v>
      </c>
      <c r="C31" s="6">
        <v>1391</v>
      </c>
      <c r="D31" s="6">
        <v>430</v>
      </c>
      <c r="E31" s="6">
        <v>295032</v>
      </c>
      <c r="F31" s="29">
        <v>7.86</v>
      </c>
      <c r="G31" s="30">
        <v>26067</v>
      </c>
    </row>
    <row r="32" spans="1:7">
      <c r="A32" s="28">
        <v>45495</v>
      </c>
      <c r="B32" s="4" t="s">
        <v>13</v>
      </c>
      <c r="C32" s="6">
        <v>1701</v>
      </c>
      <c r="D32" s="6">
        <v>385</v>
      </c>
      <c r="E32" s="6">
        <v>198278</v>
      </c>
      <c r="F32" s="29">
        <v>5.34</v>
      </c>
      <c r="G32" s="30">
        <v>32763</v>
      </c>
    </row>
    <row r="33" spans="1:7">
      <c r="A33" s="28">
        <v>45495</v>
      </c>
      <c r="B33" s="4" t="s">
        <v>26</v>
      </c>
      <c r="C33" s="6">
        <v>804</v>
      </c>
      <c r="D33" s="6">
        <v>487</v>
      </c>
      <c r="E33" s="6">
        <v>306564</v>
      </c>
      <c r="F33" s="29">
        <v>5.52</v>
      </c>
      <c r="G33" s="30">
        <v>26452</v>
      </c>
    </row>
    <row r="34" spans="1:7">
      <c r="A34" s="28">
        <v>45502</v>
      </c>
      <c r="B34" s="4" t="s">
        <v>30</v>
      </c>
      <c r="C34" s="6">
        <v>653</v>
      </c>
      <c r="D34" s="6">
        <v>112</v>
      </c>
      <c r="E34" s="6">
        <v>23664</v>
      </c>
      <c r="F34" s="29">
        <v>4.05</v>
      </c>
      <c r="G34" s="30">
        <v>15353</v>
      </c>
    </row>
    <row r="35" spans="1:7">
      <c r="A35" s="28">
        <v>45502</v>
      </c>
      <c r="B35" s="4" t="s">
        <v>37</v>
      </c>
      <c r="C35" s="6">
        <v>160</v>
      </c>
      <c r="D35" s="6">
        <v>478</v>
      </c>
      <c r="E35" s="6">
        <v>435034</v>
      </c>
      <c r="F35" s="29">
        <v>7.73</v>
      </c>
      <c r="G35" s="30">
        <v>4839</v>
      </c>
    </row>
    <row r="36" spans="1:7">
      <c r="A36" s="28">
        <v>45502</v>
      </c>
      <c r="B36" s="4" t="s">
        <v>13</v>
      </c>
      <c r="C36" s="6">
        <v>1756</v>
      </c>
      <c r="D36" s="6">
        <v>261</v>
      </c>
      <c r="E36" s="6">
        <v>287574</v>
      </c>
      <c r="F36" s="29">
        <v>4.3600000000000003</v>
      </c>
      <c r="G36" s="30">
        <v>39272</v>
      </c>
    </row>
    <row r="37" spans="1:7">
      <c r="A37" s="28">
        <v>45502</v>
      </c>
      <c r="B37" s="4" t="s">
        <v>26</v>
      </c>
      <c r="C37" s="6">
        <v>576</v>
      </c>
      <c r="D37" s="6">
        <v>101</v>
      </c>
      <c r="E37" s="6">
        <v>62499</v>
      </c>
      <c r="F37" s="29">
        <v>3.48</v>
      </c>
      <c r="G37" s="30">
        <v>16804</v>
      </c>
    </row>
    <row r="38" spans="1:7">
      <c r="A38" s="28">
        <v>45509</v>
      </c>
      <c r="B38" s="4" t="s">
        <v>30</v>
      </c>
      <c r="C38" s="6">
        <v>645</v>
      </c>
      <c r="D38" s="6">
        <v>293</v>
      </c>
      <c r="E38" s="6">
        <v>437968</v>
      </c>
      <c r="F38" s="29">
        <v>7.83</v>
      </c>
      <c r="G38" s="30">
        <v>49303</v>
      </c>
    </row>
    <row r="39" spans="1:7">
      <c r="A39" s="28">
        <v>45509</v>
      </c>
      <c r="B39" s="4" t="s">
        <v>37</v>
      </c>
      <c r="C39" s="6">
        <v>214</v>
      </c>
      <c r="D39" s="6">
        <v>411</v>
      </c>
      <c r="E39" s="6">
        <v>125034</v>
      </c>
      <c r="F39" s="29">
        <v>6.11</v>
      </c>
      <c r="G39" s="30">
        <v>26455</v>
      </c>
    </row>
    <row r="40" spans="1:7">
      <c r="A40" s="28">
        <v>45509</v>
      </c>
      <c r="B40" s="4" t="s">
        <v>13</v>
      </c>
      <c r="C40" s="6">
        <v>826</v>
      </c>
      <c r="D40" s="6">
        <v>498</v>
      </c>
      <c r="E40" s="6">
        <v>449994</v>
      </c>
      <c r="F40" s="29">
        <v>9.43</v>
      </c>
      <c r="G40" s="30">
        <v>12384</v>
      </c>
    </row>
    <row r="41" spans="1:7">
      <c r="A41" s="28">
        <v>45509</v>
      </c>
      <c r="B41" s="4" t="s">
        <v>26</v>
      </c>
      <c r="C41" s="6">
        <v>460</v>
      </c>
      <c r="D41" s="6">
        <v>141</v>
      </c>
      <c r="E41" s="6">
        <v>320650</v>
      </c>
      <c r="F41" s="29">
        <v>4.04</v>
      </c>
      <c r="G41" s="30">
        <v>49372</v>
      </c>
    </row>
    <row r="42" spans="1:7">
      <c r="A42" s="28">
        <v>45516</v>
      </c>
      <c r="B42" s="4" t="s">
        <v>30</v>
      </c>
      <c r="C42" s="6">
        <v>1528</v>
      </c>
      <c r="D42" s="6">
        <v>203</v>
      </c>
      <c r="E42" s="6">
        <v>489188</v>
      </c>
      <c r="F42" s="29">
        <v>6.23</v>
      </c>
      <c r="G42" s="30">
        <v>47101</v>
      </c>
    </row>
    <row r="43" spans="1:7">
      <c r="A43" s="28">
        <v>45516</v>
      </c>
      <c r="B43" s="4" t="s">
        <v>37</v>
      </c>
      <c r="C43" s="6">
        <v>1534</v>
      </c>
      <c r="D43" s="6">
        <v>200</v>
      </c>
      <c r="E43" s="6">
        <v>307612</v>
      </c>
      <c r="F43" s="29">
        <v>6.01</v>
      </c>
      <c r="G43" s="30">
        <v>37903</v>
      </c>
    </row>
    <row r="44" spans="1:7">
      <c r="A44" s="28">
        <v>45516</v>
      </c>
      <c r="B44" s="4" t="s">
        <v>13</v>
      </c>
      <c r="C44" s="6">
        <v>485</v>
      </c>
      <c r="D44" s="6">
        <v>448</v>
      </c>
      <c r="E44" s="6">
        <v>434883</v>
      </c>
      <c r="F44" s="29">
        <v>8.5500000000000007</v>
      </c>
      <c r="G44" s="30">
        <v>33258</v>
      </c>
    </row>
    <row r="45" spans="1:7">
      <c r="A45" s="28">
        <v>45516</v>
      </c>
      <c r="B45" s="4" t="s">
        <v>26</v>
      </c>
      <c r="C45" s="6">
        <v>1210</v>
      </c>
      <c r="D45" s="6">
        <v>178</v>
      </c>
      <c r="E45" s="6">
        <v>102042</v>
      </c>
      <c r="F45" s="29">
        <v>5.42</v>
      </c>
      <c r="G45" s="30">
        <v>6915</v>
      </c>
    </row>
    <row r="46" spans="1:7">
      <c r="A46" s="28">
        <v>45523</v>
      </c>
      <c r="B46" s="4" t="s">
        <v>30</v>
      </c>
      <c r="C46" s="6">
        <v>215</v>
      </c>
      <c r="D46" s="6">
        <v>139</v>
      </c>
      <c r="E46" s="6">
        <v>325444</v>
      </c>
      <c r="F46" s="29">
        <v>3.25</v>
      </c>
      <c r="G46" s="30">
        <v>35501</v>
      </c>
    </row>
    <row r="47" spans="1:7">
      <c r="A47" s="28">
        <v>45523</v>
      </c>
      <c r="B47" s="4" t="s">
        <v>37</v>
      </c>
      <c r="C47" s="6">
        <v>1078</v>
      </c>
      <c r="D47" s="6">
        <v>20</v>
      </c>
      <c r="E47" s="6">
        <v>183924</v>
      </c>
      <c r="F47" s="29">
        <v>8.84</v>
      </c>
      <c r="G47" s="30">
        <v>14203</v>
      </c>
    </row>
    <row r="48" spans="1:7">
      <c r="A48" s="28">
        <v>45523</v>
      </c>
      <c r="B48" s="4" t="s">
        <v>13</v>
      </c>
      <c r="C48" s="6">
        <v>1751</v>
      </c>
      <c r="D48" s="6">
        <v>86</v>
      </c>
      <c r="E48" s="6">
        <v>188655</v>
      </c>
      <c r="F48" s="29">
        <v>7.24</v>
      </c>
      <c r="G48" s="30">
        <v>22206</v>
      </c>
    </row>
    <row r="49" spans="1:7">
      <c r="A49" s="28">
        <v>45523</v>
      </c>
      <c r="B49" s="4" t="s">
        <v>26</v>
      </c>
      <c r="C49" s="6">
        <v>221</v>
      </c>
      <c r="D49" s="6">
        <v>31</v>
      </c>
      <c r="E49" s="6">
        <v>87443</v>
      </c>
      <c r="F49" s="29">
        <v>6.19</v>
      </c>
      <c r="G49" s="30">
        <v>10283</v>
      </c>
    </row>
    <row r="50" spans="1:7">
      <c r="A50" s="28">
        <v>45530</v>
      </c>
      <c r="B50" s="4" t="s">
        <v>30</v>
      </c>
      <c r="C50" s="6">
        <v>1685</v>
      </c>
      <c r="D50" s="6">
        <v>76</v>
      </c>
      <c r="E50" s="6">
        <v>453799</v>
      </c>
      <c r="F50" s="29">
        <v>5.71</v>
      </c>
      <c r="G50" s="30">
        <v>24913</v>
      </c>
    </row>
    <row r="51" spans="1:7">
      <c r="A51" s="28">
        <v>45530</v>
      </c>
      <c r="B51" s="4" t="s">
        <v>37</v>
      </c>
      <c r="C51" s="6">
        <v>248</v>
      </c>
      <c r="D51" s="6">
        <v>211</v>
      </c>
      <c r="E51" s="6">
        <v>379380</v>
      </c>
      <c r="F51" s="29">
        <v>9.0399999999999991</v>
      </c>
      <c r="G51" s="30">
        <v>26925</v>
      </c>
    </row>
    <row r="52" spans="1:7">
      <c r="A52" s="28">
        <v>45530</v>
      </c>
      <c r="B52" s="4" t="s">
        <v>13</v>
      </c>
      <c r="C52" s="6">
        <v>1300</v>
      </c>
      <c r="D52" s="6">
        <v>71</v>
      </c>
      <c r="E52" s="6">
        <v>186454</v>
      </c>
      <c r="F52" s="29">
        <v>3.91</v>
      </c>
      <c r="G52" s="30">
        <v>9942</v>
      </c>
    </row>
    <row r="53" spans="1:7">
      <c r="A53" s="28">
        <v>45530</v>
      </c>
      <c r="B53" s="4" t="s">
        <v>26</v>
      </c>
      <c r="C53" s="6">
        <v>422</v>
      </c>
      <c r="D53" s="6">
        <v>394</v>
      </c>
      <c r="E53" s="6">
        <v>239044</v>
      </c>
      <c r="F53" s="29">
        <v>7.83</v>
      </c>
      <c r="G53" s="30">
        <v>32929</v>
      </c>
    </row>
    <row r="54" spans="1:7">
      <c r="A54" s="28">
        <v>45537</v>
      </c>
      <c r="B54" s="4" t="s">
        <v>30</v>
      </c>
      <c r="C54" s="6">
        <v>1429</v>
      </c>
      <c r="D54" s="6">
        <v>182</v>
      </c>
      <c r="E54" s="6">
        <v>101332</v>
      </c>
      <c r="F54" s="29">
        <v>7.16</v>
      </c>
      <c r="G54" s="30">
        <v>37829</v>
      </c>
    </row>
    <row r="55" spans="1:7">
      <c r="A55" s="28">
        <v>45537</v>
      </c>
      <c r="B55" s="4" t="s">
        <v>37</v>
      </c>
      <c r="C55" s="6">
        <v>1520</v>
      </c>
      <c r="D55" s="6">
        <v>475</v>
      </c>
      <c r="E55" s="6">
        <v>496982</v>
      </c>
      <c r="F55" s="29">
        <v>6.41</v>
      </c>
      <c r="G55" s="30">
        <v>24384</v>
      </c>
    </row>
    <row r="56" spans="1:7">
      <c r="A56" s="28">
        <v>45537</v>
      </c>
      <c r="B56" s="4" t="s">
        <v>13</v>
      </c>
      <c r="C56" s="6">
        <v>557</v>
      </c>
      <c r="D56" s="6">
        <v>360</v>
      </c>
      <c r="E56" s="6">
        <v>318779</v>
      </c>
      <c r="F56" s="29">
        <v>8.02</v>
      </c>
      <c r="G56" s="30">
        <v>25797</v>
      </c>
    </row>
    <row r="57" spans="1:7">
      <c r="A57" s="28">
        <v>45537</v>
      </c>
      <c r="B57" s="4" t="s">
        <v>26</v>
      </c>
      <c r="C57" s="6">
        <v>728</v>
      </c>
      <c r="D57" s="6">
        <v>395</v>
      </c>
      <c r="E57" s="6">
        <v>370971</v>
      </c>
      <c r="F57" s="29">
        <v>3.86</v>
      </c>
      <c r="G57" s="30">
        <v>12646</v>
      </c>
    </row>
    <row r="58" spans="1:7">
      <c r="A58" s="28">
        <v>45544</v>
      </c>
      <c r="B58" s="4" t="s">
        <v>30</v>
      </c>
      <c r="C58" s="6">
        <v>1592</v>
      </c>
      <c r="D58" s="6">
        <v>20</v>
      </c>
      <c r="E58" s="6">
        <v>378054</v>
      </c>
      <c r="F58" s="29">
        <v>9.09</v>
      </c>
      <c r="G58" s="30">
        <v>26663</v>
      </c>
    </row>
    <row r="59" spans="1:7">
      <c r="A59" s="28">
        <v>45544</v>
      </c>
      <c r="B59" s="4" t="s">
        <v>37</v>
      </c>
      <c r="C59" s="6">
        <v>1842</v>
      </c>
      <c r="D59" s="6">
        <v>414</v>
      </c>
      <c r="E59" s="6">
        <v>307524</v>
      </c>
      <c r="F59" s="29">
        <v>1.76</v>
      </c>
      <c r="G59" s="30">
        <v>40478</v>
      </c>
    </row>
    <row r="60" spans="1:7">
      <c r="A60" s="28">
        <v>45544</v>
      </c>
      <c r="B60" s="4" t="s">
        <v>13</v>
      </c>
      <c r="C60" s="6">
        <v>751</v>
      </c>
      <c r="D60" s="6">
        <v>491</v>
      </c>
      <c r="E60" s="6">
        <v>434047</v>
      </c>
      <c r="F60" s="29">
        <v>9.24</v>
      </c>
      <c r="G60" s="30">
        <v>15476</v>
      </c>
    </row>
    <row r="61" spans="1:7">
      <c r="A61" s="28">
        <v>45544</v>
      </c>
      <c r="B61" s="4" t="s">
        <v>26</v>
      </c>
      <c r="C61" s="6">
        <v>1409</v>
      </c>
      <c r="D61" s="6">
        <v>309</v>
      </c>
      <c r="E61" s="6">
        <v>64583</v>
      </c>
      <c r="F61" s="29">
        <v>8.99</v>
      </c>
      <c r="G61" s="30">
        <v>10217</v>
      </c>
    </row>
    <row r="62" spans="1:7">
      <c r="A62" s="28">
        <v>45551</v>
      </c>
      <c r="B62" s="4" t="s">
        <v>30</v>
      </c>
      <c r="C62" s="6">
        <v>778</v>
      </c>
      <c r="D62" s="6">
        <v>401</v>
      </c>
      <c r="E62" s="6">
        <v>50793</v>
      </c>
      <c r="F62" s="29">
        <v>3.4</v>
      </c>
      <c r="G62" s="30">
        <v>21939</v>
      </c>
    </row>
    <row r="63" spans="1:7">
      <c r="A63" s="28">
        <v>45551</v>
      </c>
      <c r="B63" s="4" t="s">
        <v>37</v>
      </c>
      <c r="C63" s="6">
        <v>443</v>
      </c>
      <c r="D63" s="6">
        <v>345</v>
      </c>
      <c r="E63" s="6">
        <v>474162</v>
      </c>
      <c r="F63" s="29">
        <v>9.1999999999999993</v>
      </c>
      <c r="G63" s="30">
        <v>47462</v>
      </c>
    </row>
    <row r="64" spans="1:7">
      <c r="A64" s="28">
        <v>45551</v>
      </c>
      <c r="B64" s="4" t="s">
        <v>13</v>
      </c>
      <c r="C64" s="6">
        <v>1472</v>
      </c>
      <c r="D64" s="6">
        <v>347</v>
      </c>
      <c r="E64" s="6">
        <v>392355</v>
      </c>
      <c r="F64" s="29">
        <v>8.59</v>
      </c>
      <c r="G64" s="30">
        <v>30270</v>
      </c>
    </row>
    <row r="65" spans="1:7">
      <c r="A65" s="28">
        <v>45551</v>
      </c>
      <c r="B65" s="4" t="s">
        <v>26</v>
      </c>
      <c r="C65" s="6">
        <v>123</v>
      </c>
      <c r="D65" s="6">
        <v>155</v>
      </c>
      <c r="E65" s="6">
        <v>119934</v>
      </c>
      <c r="F65" s="29">
        <v>3.5</v>
      </c>
      <c r="G65" s="30">
        <v>5442</v>
      </c>
    </row>
    <row r="66" spans="1:7">
      <c r="A66" s="28">
        <v>45558</v>
      </c>
      <c r="B66" s="4" t="s">
        <v>30</v>
      </c>
      <c r="C66" s="6">
        <v>817</v>
      </c>
      <c r="D66" s="6">
        <v>151</v>
      </c>
      <c r="E66" s="6">
        <v>422625</v>
      </c>
      <c r="F66" s="29">
        <v>2.36</v>
      </c>
      <c r="G66" s="30">
        <v>1083</v>
      </c>
    </row>
    <row r="67" spans="1:7">
      <c r="A67" s="28">
        <v>45558</v>
      </c>
      <c r="B67" s="4" t="s">
        <v>37</v>
      </c>
      <c r="C67" s="6">
        <v>198</v>
      </c>
      <c r="D67" s="6">
        <v>217</v>
      </c>
      <c r="E67" s="6">
        <v>239753</v>
      </c>
      <c r="F67" s="29">
        <v>7.36</v>
      </c>
      <c r="G67" s="30">
        <v>11901</v>
      </c>
    </row>
    <row r="68" spans="1:7">
      <c r="A68" s="28">
        <v>45558</v>
      </c>
      <c r="B68" s="4" t="s">
        <v>13</v>
      </c>
      <c r="C68" s="6">
        <v>1911</v>
      </c>
      <c r="D68" s="6">
        <v>231</v>
      </c>
      <c r="E68" s="6">
        <v>268516</v>
      </c>
      <c r="F68" s="29">
        <v>8.5500000000000007</v>
      </c>
      <c r="G68" s="30">
        <v>24018</v>
      </c>
    </row>
    <row r="69" spans="1:7">
      <c r="A69" s="28">
        <v>45558</v>
      </c>
      <c r="B69" s="4" t="s">
        <v>26</v>
      </c>
      <c r="C69" s="6">
        <v>1218</v>
      </c>
      <c r="D69" s="6">
        <v>212</v>
      </c>
      <c r="E69" s="6">
        <v>63177</v>
      </c>
      <c r="F69" s="29">
        <v>8.1300000000000008</v>
      </c>
      <c r="G69" s="30">
        <v>38883</v>
      </c>
    </row>
    <row r="70" spans="1:7">
      <c r="A70" s="28">
        <v>45565</v>
      </c>
      <c r="B70" s="4" t="s">
        <v>30</v>
      </c>
      <c r="C70" s="6">
        <v>1433</v>
      </c>
      <c r="D70" s="6">
        <v>408</v>
      </c>
      <c r="E70" s="6">
        <v>370269</v>
      </c>
      <c r="F70" s="29">
        <v>3.3</v>
      </c>
      <c r="G70" s="30">
        <v>30575</v>
      </c>
    </row>
    <row r="71" spans="1:7">
      <c r="A71" s="28">
        <v>45565</v>
      </c>
      <c r="B71" s="4" t="s">
        <v>37</v>
      </c>
      <c r="C71" s="6">
        <v>250</v>
      </c>
      <c r="D71" s="6">
        <v>429</v>
      </c>
      <c r="E71" s="6">
        <v>453423</v>
      </c>
      <c r="F71" s="29">
        <v>1.77</v>
      </c>
      <c r="G71" s="30">
        <v>2315</v>
      </c>
    </row>
    <row r="72" spans="1:7">
      <c r="A72" s="28">
        <v>45565</v>
      </c>
      <c r="B72" s="4" t="s">
        <v>13</v>
      </c>
      <c r="C72" s="6">
        <v>752</v>
      </c>
      <c r="D72" s="6">
        <v>153</v>
      </c>
      <c r="E72" s="6">
        <v>64906</v>
      </c>
      <c r="F72" s="29">
        <v>2.09</v>
      </c>
      <c r="G72" s="30">
        <v>12148</v>
      </c>
    </row>
    <row r="73" spans="1:7">
      <c r="A73" s="28">
        <v>45565</v>
      </c>
      <c r="B73" s="4" t="s">
        <v>26</v>
      </c>
      <c r="C73" s="6">
        <v>1918</v>
      </c>
      <c r="D73" s="6">
        <v>212</v>
      </c>
      <c r="E73" s="6">
        <v>94360</v>
      </c>
      <c r="F73" s="29">
        <v>7.36</v>
      </c>
      <c r="G73" s="30">
        <v>36851</v>
      </c>
    </row>
    <row r="74" spans="1:7">
      <c r="A74" s="28">
        <v>45572</v>
      </c>
      <c r="B74" s="4" t="s">
        <v>30</v>
      </c>
      <c r="C74" s="6">
        <v>1939</v>
      </c>
      <c r="D74" s="6">
        <v>67</v>
      </c>
      <c r="E74" s="6">
        <v>187183</v>
      </c>
      <c r="F74" s="29">
        <v>6.25</v>
      </c>
      <c r="G74" s="30">
        <v>41215</v>
      </c>
    </row>
    <row r="75" spans="1:7">
      <c r="A75" s="28">
        <v>45572</v>
      </c>
      <c r="B75" s="4" t="s">
        <v>37</v>
      </c>
      <c r="C75" s="6">
        <v>1929</v>
      </c>
      <c r="D75" s="6">
        <v>267</v>
      </c>
      <c r="E75" s="6">
        <v>379363</v>
      </c>
      <c r="F75" s="29">
        <v>1.75</v>
      </c>
      <c r="G75" s="30">
        <v>43836</v>
      </c>
    </row>
    <row r="76" spans="1:7">
      <c r="A76" s="28">
        <v>45572</v>
      </c>
      <c r="B76" s="4" t="s">
        <v>13</v>
      </c>
      <c r="C76" s="6">
        <v>437</v>
      </c>
      <c r="D76" s="6">
        <v>330</v>
      </c>
      <c r="E76" s="6">
        <v>476486</v>
      </c>
      <c r="F76" s="29">
        <v>4.97</v>
      </c>
      <c r="G76" s="30">
        <v>4509</v>
      </c>
    </row>
    <row r="77" spans="1:7">
      <c r="A77" s="28">
        <v>45572</v>
      </c>
      <c r="B77" s="4" t="s">
        <v>26</v>
      </c>
      <c r="C77" s="6">
        <v>307</v>
      </c>
      <c r="D77" s="6">
        <v>189</v>
      </c>
      <c r="E77" s="6">
        <v>117767</v>
      </c>
      <c r="F77" s="29">
        <v>9.3000000000000007</v>
      </c>
      <c r="G77" s="30">
        <v>27822</v>
      </c>
    </row>
    <row r="78" spans="1:7">
      <c r="A78" s="28">
        <v>45579</v>
      </c>
      <c r="B78" s="4" t="s">
        <v>30</v>
      </c>
      <c r="C78" s="6">
        <v>1527</v>
      </c>
      <c r="D78" s="6">
        <v>303</v>
      </c>
      <c r="E78" s="6">
        <v>388555</v>
      </c>
      <c r="F78" s="29">
        <v>8.9</v>
      </c>
      <c r="G78" s="30">
        <v>36397</v>
      </c>
    </row>
    <row r="79" spans="1:7">
      <c r="A79" s="28">
        <v>45579</v>
      </c>
      <c r="B79" s="4" t="s">
        <v>37</v>
      </c>
      <c r="C79" s="6">
        <v>643</v>
      </c>
      <c r="D79" s="6">
        <v>358</v>
      </c>
      <c r="E79" s="6">
        <v>157599</v>
      </c>
      <c r="F79" s="29">
        <v>3.88</v>
      </c>
      <c r="G79" s="30">
        <v>7285</v>
      </c>
    </row>
    <row r="80" spans="1:7">
      <c r="A80" s="28">
        <v>45579</v>
      </c>
      <c r="B80" s="4" t="s">
        <v>13</v>
      </c>
      <c r="C80" s="6">
        <v>201</v>
      </c>
      <c r="D80" s="6">
        <v>221</v>
      </c>
      <c r="E80" s="6">
        <v>309772</v>
      </c>
      <c r="F80" s="29">
        <v>5.9</v>
      </c>
      <c r="G80" s="30">
        <v>33174</v>
      </c>
    </row>
    <row r="81" spans="1:7">
      <c r="A81" s="28">
        <v>45579</v>
      </c>
      <c r="B81" s="4" t="s">
        <v>26</v>
      </c>
      <c r="C81" s="6">
        <v>414</v>
      </c>
      <c r="D81" s="6">
        <v>47</v>
      </c>
      <c r="E81" s="6">
        <v>199178</v>
      </c>
      <c r="F81" s="29">
        <v>1.53</v>
      </c>
      <c r="G81" s="30">
        <v>6742</v>
      </c>
    </row>
    <row r="82" spans="1:7">
      <c r="A82" s="28">
        <v>45586</v>
      </c>
      <c r="B82" s="4" t="s">
        <v>30</v>
      </c>
      <c r="C82" s="6">
        <v>703</v>
      </c>
      <c r="D82" s="6">
        <v>441</v>
      </c>
      <c r="E82" s="6">
        <v>357089</v>
      </c>
      <c r="F82" s="29">
        <v>6.5</v>
      </c>
      <c r="G82" s="30">
        <v>32478</v>
      </c>
    </row>
    <row r="83" spans="1:7">
      <c r="A83" s="28">
        <v>45586</v>
      </c>
      <c r="B83" s="4" t="s">
        <v>37</v>
      </c>
      <c r="C83" s="6">
        <v>508</v>
      </c>
      <c r="D83" s="6">
        <v>69</v>
      </c>
      <c r="E83" s="6">
        <v>23492</v>
      </c>
      <c r="F83" s="29">
        <v>3.16</v>
      </c>
      <c r="G83" s="30">
        <v>42824</v>
      </c>
    </row>
    <row r="84" spans="1:7">
      <c r="A84" s="28">
        <v>45586</v>
      </c>
      <c r="B84" s="4" t="s">
        <v>13</v>
      </c>
      <c r="C84" s="6">
        <v>697</v>
      </c>
      <c r="D84" s="6">
        <v>61</v>
      </c>
      <c r="E84" s="6">
        <v>258287</v>
      </c>
      <c r="F84" s="29">
        <v>8.25</v>
      </c>
      <c r="G84" s="30">
        <v>21208</v>
      </c>
    </row>
    <row r="85" spans="1:7">
      <c r="A85" s="28">
        <v>45586</v>
      </c>
      <c r="B85" s="4" t="s">
        <v>26</v>
      </c>
      <c r="C85" s="6">
        <v>1707</v>
      </c>
      <c r="D85" s="6">
        <v>223</v>
      </c>
      <c r="E85" s="6">
        <v>256910</v>
      </c>
      <c r="F85" s="29">
        <v>5.41</v>
      </c>
      <c r="G85" s="30">
        <v>44321</v>
      </c>
    </row>
    <row r="86" spans="1:7">
      <c r="A86" s="28">
        <v>45593</v>
      </c>
      <c r="B86" s="4" t="s">
        <v>30</v>
      </c>
      <c r="C86" s="6">
        <v>642</v>
      </c>
      <c r="D86" s="6">
        <v>66</v>
      </c>
      <c r="E86" s="6">
        <v>346522</v>
      </c>
      <c r="F86" s="29">
        <v>5.85</v>
      </c>
      <c r="G86" s="30">
        <v>13116</v>
      </c>
    </row>
    <row r="87" spans="1:7">
      <c r="A87" s="28">
        <v>45593</v>
      </c>
      <c r="B87" s="4" t="s">
        <v>37</v>
      </c>
      <c r="C87" s="6">
        <v>859</v>
      </c>
      <c r="D87" s="6">
        <v>473</v>
      </c>
      <c r="E87" s="6">
        <v>209987</v>
      </c>
      <c r="F87" s="29">
        <v>4.46</v>
      </c>
      <c r="G87" s="30">
        <v>30214</v>
      </c>
    </row>
    <row r="88" spans="1:7">
      <c r="A88" s="28">
        <v>45593</v>
      </c>
      <c r="B88" s="4" t="s">
        <v>13</v>
      </c>
      <c r="C88" s="6">
        <v>191</v>
      </c>
      <c r="D88" s="6">
        <v>154</v>
      </c>
      <c r="E88" s="6">
        <v>240550</v>
      </c>
      <c r="F88" s="29">
        <v>5.22</v>
      </c>
      <c r="G88" s="30">
        <v>15827</v>
      </c>
    </row>
    <row r="89" spans="1:7">
      <c r="A89" s="28">
        <v>45593</v>
      </c>
      <c r="B89" s="4" t="s">
        <v>26</v>
      </c>
      <c r="C89" s="6">
        <v>1814</v>
      </c>
      <c r="D89" s="6">
        <v>157</v>
      </c>
      <c r="E89" s="6">
        <v>305827</v>
      </c>
      <c r="F89" s="29">
        <v>1.99</v>
      </c>
      <c r="G89" s="30">
        <v>46643</v>
      </c>
    </row>
    <row r="90" spans="1:7">
      <c r="A90" s="28">
        <v>45600</v>
      </c>
      <c r="B90" s="4" t="s">
        <v>30</v>
      </c>
      <c r="C90" s="6">
        <v>1466</v>
      </c>
      <c r="D90" s="6">
        <v>69</v>
      </c>
      <c r="E90" s="6">
        <v>54935</v>
      </c>
      <c r="F90" s="29">
        <v>6.85</v>
      </c>
      <c r="G90" s="30">
        <v>36484</v>
      </c>
    </row>
    <row r="91" spans="1:7">
      <c r="A91" s="28">
        <v>45600</v>
      </c>
      <c r="B91" s="4" t="s">
        <v>37</v>
      </c>
      <c r="C91" s="6">
        <v>947</v>
      </c>
      <c r="D91" s="6">
        <v>407</v>
      </c>
      <c r="E91" s="6">
        <v>319186</v>
      </c>
      <c r="F91" s="29">
        <v>3.32</v>
      </c>
      <c r="G91" s="30">
        <v>4996</v>
      </c>
    </row>
    <row r="92" spans="1:7">
      <c r="A92" s="28">
        <v>45600</v>
      </c>
      <c r="B92" s="4" t="s">
        <v>13</v>
      </c>
      <c r="C92" s="6">
        <v>1821</v>
      </c>
      <c r="D92" s="6">
        <v>218</v>
      </c>
      <c r="E92" s="6">
        <v>439080</v>
      </c>
      <c r="F92" s="29">
        <v>5.68</v>
      </c>
      <c r="G92" s="30">
        <v>36095</v>
      </c>
    </row>
    <row r="93" spans="1:7">
      <c r="A93" s="28">
        <v>45600</v>
      </c>
      <c r="B93" s="4" t="s">
        <v>26</v>
      </c>
      <c r="C93" s="6">
        <v>1507</v>
      </c>
      <c r="D93" s="6">
        <v>463</v>
      </c>
      <c r="E93" s="6">
        <v>258944</v>
      </c>
      <c r="F93" s="29">
        <v>6.08</v>
      </c>
      <c r="G93" s="30">
        <v>16443</v>
      </c>
    </row>
    <row r="94" spans="1:7">
      <c r="A94" s="28">
        <v>45607</v>
      </c>
      <c r="B94" s="4" t="s">
        <v>30</v>
      </c>
      <c r="C94" s="6">
        <v>1075</v>
      </c>
      <c r="D94" s="6">
        <v>173</v>
      </c>
      <c r="E94" s="6">
        <v>51395</v>
      </c>
      <c r="F94" s="29">
        <v>4.66</v>
      </c>
      <c r="G94" s="30">
        <v>47812</v>
      </c>
    </row>
    <row r="95" spans="1:7">
      <c r="A95" s="28">
        <v>45607</v>
      </c>
      <c r="B95" s="4" t="s">
        <v>37</v>
      </c>
      <c r="C95" s="6">
        <v>171</v>
      </c>
      <c r="D95" s="6">
        <v>277</v>
      </c>
      <c r="E95" s="6">
        <v>309483</v>
      </c>
      <c r="F95" s="29">
        <v>8.6999999999999993</v>
      </c>
      <c r="G95" s="30">
        <v>38452</v>
      </c>
    </row>
    <row r="96" spans="1:7">
      <c r="A96" s="28">
        <v>45607</v>
      </c>
      <c r="B96" s="4" t="s">
        <v>13</v>
      </c>
      <c r="C96" s="6">
        <v>1487</v>
      </c>
      <c r="D96" s="6">
        <v>337</v>
      </c>
      <c r="E96" s="6">
        <v>87305</v>
      </c>
      <c r="F96" s="29">
        <v>2.46</v>
      </c>
      <c r="G96" s="30">
        <v>30428</v>
      </c>
    </row>
    <row r="97" spans="1:7">
      <c r="A97" s="28">
        <v>45607</v>
      </c>
      <c r="B97" s="4" t="s">
        <v>26</v>
      </c>
      <c r="C97" s="6">
        <v>454</v>
      </c>
      <c r="D97" s="6">
        <v>105</v>
      </c>
      <c r="E97" s="6">
        <v>121091</v>
      </c>
      <c r="F97" s="29">
        <v>7.97</v>
      </c>
      <c r="G97" s="30">
        <v>9269</v>
      </c>
    </row>
    <row r="98" spans="1:7">
      <c r="A98" s="28">
        <v>45614</v>
      </c>
      <c r="B98" s="4" t="s">
        <v>30</v>
      </c>
      <c r="C98" s="6">
        <v>187</v>
      </c>
      <c r="D98" s="6">
        <v>236</v>
      </c>
      <c r="E98" s="6">
        <v>51087</v>
      </c>
      <c r="F98" s="29">
        <v>9.41</v>
      </c>
      <c r="G98" s="30">
        <v>29533</v>
      </c>
    </row>
    <row r="99" spans="1:7">
      <c r="A99" s="28">
        <v>45614</v>
      </c>
      <c r="B99" s="4" t="s">
        <v>37</v>
      </c>
      <c r="C99" s="6">
        <v>513</v>
      </c>
      <c r="D99" s="6">
        <v>441</v>
      </c>
      <c r="E99" s="6">
        <v>338847</v>
      </c>
      <c r="F99" s="29">
        <v>2.68</v>
      </c>
      <c r="G99" s="30">
        <v>39997</v>
      </c>
    </row>
    <row r="100" spans="1:7">
      <c r="A100" s="28">
        <v>45614</v>
      </c>
      <c r="B100" s="4" t="s">
        <v>13</v>
      </c>
      <c r="C100" s="6">
        <v>628</v>
      </c>
      <c r="D100" s="6">
        <v>183</v>
      </c>
      <c r="E100" s="6">
        <v>487523</v>
      </c>
      <c r="F100" s="29">
        <v>7.32</v>
      </c>
      <c r="G100" s="30">
        <v>5391</v>
      </c>
    </row>
    <row r="101" spans="1:7">
      <c r="A101" s="28">
        <v>45614</v>
      </c>
      <c r="B101" s="4" t="s">
        <v>26</v>
      </c>
      <c r="C101" s="6">
        <v>278</v>
      </c>
      <c r="D101" s="6">
        <v>218</v>
      </c>
      <c r="E101" s="6">
        <v>301695</v>
      </c>
      <c r="F101" s="29">
        <v>4.68</v>
      </c>
      <c r="G101" s="30">
        <v>22373</v>
      </c>
    </row>
    <row r="102" spans="1:7">
      <c r="A102" s="28">
        <v>45621</v>
      </c>
      <c r="B102" s="4" t="s">
        <v>30</v>
      </c>
      <c r="C102" s="6">
        <v>1854</v>
      </c>
      <c r="D102" s="6">
        <v>161</v>
      </c>
      <c r="E102" s="6">
        <v>282466</v>
      </c>
      <c r="F102" s="29">
        <v>5.17</v>
      </c>
      <c r="G102" s="30">
        <v>1810</v>
      </c>
    </row>
    <row r="103" spans="1:7">
      <c r="A103" s="28">
        <v>45621</v>
      </c>
      <c r="B103" s="4" t="s">
        <v>37</v>
      </c>
      <c r="C103" s="6">
        <v>1710</v>
      </c>
      <c r="D103" s="6">
        <v>378</v>
      </c>
      <c r="E103" s="6">
        <v>336661</v>
      </c>
      <c r="F103" s="29">
        <v>6.2</v>
      </c>
      <c r="G103" s="30">
        <v>28498</v>
      </c>
    </row>
    <row r="104" spans="1:7">
      <c r="A104" s="28">
        <v>45621</v>
      </c>
      <c r="B104" s="4" t="s">
        <v>13</v>
      </c>
      <c r="C104" s="6">
        <v>330</v>
      </c>
      <c r="D104" s="6">
        <v>232</v>
      </c>
      <c r="E104" s="6">
        <v>88455</v>
      </c>
      <c r="F104" s="29">
        <v>2.69</v>
      </c>
      <c r="G104" s="30">
        <v>39530</v>
      </c>
    </row>
    <row r="105" spans="1:7">
      <c r="A105" s="28">
        <v>45621</v>
      </c>
      <c r="B105" s="4" t="s">
        <v>26</v>
      </c>
      <c r="C105" s="6">
        <v>1293</v>
      </c>
      <c r="D105" s="6">
        <v>408</v>
      </c>
      <c r="E105" s="6">
        <v>62535</v>
      </c>
      <c r="F105" s="29">
        <v>8.9</v>
      </c>
      <c r="G105" s="30">
        <v>37876</v>
      </c>
    </row>
    <row r="106" spans="1:7">
      <c r="A106" s="28">
        <v>45628</v>
      </c>
      <c r="B106" s="4" t="s">
        <v>30</v>
      </c>
      <c r="C106" s="6">
        <v>1696</v>
      </c>
      <c r="D106" s="6">
        <v>71</v>
      </c>
      <c r="E106" s="6">
        <v>421957</v>
      </c>
      <c r="F106" s="29">
        <v>3.79</v>
      </c>
      <c r="G106" s="30">
        <v>36103</v>
      </c>
    </row>
    <row r="107" spans="1:7">
      <c r="A107" s="28">
        <v>45628</v>
      </c>
      <c r="B107" s="4" t="s">
        <v>37</v>
      </c>
      <c r="C107" s="6">
        <v>1902</v>
      </c>
      <c r="D107" s="6">
        <v>196</v>
      </c>
      <c r="E107" s="6">
        <v>470269</v>
      </c>
      <c r="F107" s="29">
        <v>4.79</v>
      </c>
      <c r="G107" s="30">
        <v>26103</v>
      </c>
    </row>
    <row r="108" spans="1:7">
      <c r="A108" s="28">
        <v>45628</v>
      </c>
      <c r="B108" s="4" t="s">
        <v>13</v>
      </c>
      <c r="C108" s="6">
        <v>1441</v>
      </c>
      <c r="D108" s="6">
        <v>268</v>
      </c>
      <c r="E108" s="6">
        <v>309904</v>
      </c>
      <c r="F108" s="29">
        <v>6.37</v>
      </c>
      <c r="G108" s="30">
        <v>3455</v>
      </c>
    </row>
    <row r="109" spans="1:7">
      <c r="A109" s="28">
        <v>45628</v>
      </c>
      <c r="B109" s="4" t="s">
        <v>26</v>
      </c>
      <c r="C109" s="6">
        <v>452</v>
      </c>
      <c r="D109" s="6">
        <v>161</v>
      </c>
      <c r="E109" s="6">
        <v>221274</v>
      </c>
      <c r="F109" s="29">
        <v>2.65</v>
      </c>
      <c r="G109" s="30">
        <v>40888</v>
      </c>
    </row>
    <row r="110" spans="1:7">
      <c r="A110" s="28">
        <v>45635</v>
      </c>
      <c r="B110" s="4" t="s">
        <v>30</v>
      </c>
      <c r="C110" s="6">
        <v>1494</v>
      </c>
      <c r="D110" s="6">
        <v>375</v>
      </c>
      <c r="E110" s="6">
        <v>220616</v>
      </c>
      <c r="F110" s="29">
        <v>1.81</v>
      </c>
      <c r="G110" s="30">
        <v>22724</v>
      </c>
    </row>
    <row r="111" spans="1:7">
      <c r="A111" s="28">
        <v>45635</v>
      </c>
      <c r="B111" s="4" t="s">
        <v>37</v>
      </c>
      <c r="C111" s="6">
        <v>1514</v>
      </c>
      <c r="D111" s="6">
        <v>141</v>
      </c>
      <c r="E111" s="6">
        <v>35842</v>
      </c>
      <c r="F111" s="29">
        <v>7.47</v>
      </c>
      <c r="G111" s="30">
        <v>18601</v>
      </c>
    </row>
    <row r="112" spans="1:7">
      <c r="A112" s="28">
        <v>45635</v>
      </c>
      <c r="B112" s="4" t="s">
        <v>13</v>
      </c>
      <c r="C112" s="6">
        <v>1937</v>
      </c>
      <c r="D112" s="6">
        <v>210</v>
      </c>
      <c r="E112" s="6">
        <v>20607</v>
      </c>
      <c r="F112" s="29">
        <v>4.2</v>
      </c>
      <c r="G112" s="30">
        <v>20861</v>
      </c>
    </row>
    <row r="113" spans="1:7">
      <c r="A113" s="28">
        <v>45635</v>
      </c>
      <c r="B113" s="4" t="s">
        <v>26</v>
      </c>
      <c r="C113" s="6">
        <v>736</v>
      </c>
      <c r="D113" s="6">
        <v>163</v>
      </c>
      <c r="E113" s="6">
        <v>451894</v>
      </c>
      <c r="F113" s="29">
        <v>5.43</v>
      </c>
      <c r="G113" s="30">
        <v>46625</v>
      </c>
    </row>
    <row r="114" spans="1:7">
      <c r="A114" s="28">
        <v>45642</v>
      </c>
      <c r="B114" s="4" t="s">
        <v>30</v>
      </c>
      <c r="C114" s="6">
        <v>1502</v>
      </c>
      <c r="D114" s="6">
        <v>70</v>
      </c>
      <c r="E114" s="6">
        <v>465553</v>
      </c>
      <c r="F114" s="29">
        <v>3.32</v>
      </c>
      <c r="G114" s="30">
        <v>20692</v>
      </c>
    </row>
    <row r="115" spans="1:7">
      <c r="A115" s="28">
        <v>45642</v>
      </c>
      <c r="B115" s="4" t="s">
        <v>37</v>
      </c>
      <c r="C115" s="6">
        <v>1623</v>
      </c>
      <c r="D115" s="6">
        <v>246</v>
      </c>
      <c r="E115" s="6">
        <v>415815</v>
      </c>
      <c r="F115" s="29">
        <v>8.11</v>
      </c>
      <c r="G115" s="30">
        <v>18656</v>
      </c>
    </row>
    <row r="116" spans="1:7">
      <c r="A116" s="28">
        <v>45642</v>
      </c>
      <c r="B116" s="4" t="s">
        <v>13</v>
      </c>
      <c r="C116" s="6">
        <v>1592</v>
      </c>
      <c r="D116" s="6">
        <v>233</v>
      </c>
      <c r="E116" s="6">
        <v>327183</v>
      </c>
      <c r="F116" s="29">
        <v>6.66</v>
      </c>
      <c r="G116" s="30">
        <v>13316</v>
      </c>
    </row>
    <row r="117" spans="1:7">
      <c r="A117" s="28">
        <v>45642</v>
      </c>
      <c r="B117" s="4" t="s">
        <v>26</v>
      </c>
      <c r="C117" s="6">
        <v>1004</v>
      </c>
      <c r="D117" s="6">
        <v>128</v>
      </c>
      <c r="E117" s="6">
        <v>488901</v>
      </c>
      <c r="F117" s="29">
        <v>8.09</v>
      </c>
      <c r="G117" s="30">
        <v>49558</v>
      </c>
    </row>
    <row r="118" spans="1:7">
      <c r="A118" s="28">
        <v>45649</v>
      </c>
      <c r="B118" s="4" t="s">
        <v>30</v>
      </c>
      <c r="C118" s="6">
        <v>1092</v>
      </c>
      <c r="D118" s="6">
        <v>408</v>
      </c>
      <c r="E118" s="6">
        <v>280795</v>
      </c>
      <c r="F118" s="29">
        <v>8.44</v>
      </c>
      <c r="G118" s="30">
        <v>4683</v>
      </c>
    </row>
    <row r="119" spans="1:7">
      <c r="A119" s="28">
        <v>45649</v>
      </c>
      <c r="B119" s="4" t="s">
        <v>37</v>
      </c>
      <c r="C119" s="6">
        <v>1155</v>
      </c>
      <c r="D119" s="6">
        <v>425</v>
      </c>
      <c r="E119" s="6">
        <v>93347</v>
      </c>
      <c r="F119" s="29">
        <v>2.02</v>
      </c>
      <c r="G119" s="30">
        <v>47502</v>
      </c>
    </row>
    <row r="120" spans="1:7">
      <c r="A120" s="28">
        <v>45649</v>
      </c>
      <c r="B120" s="4" t="s">
        <v>13</v>
      </c>
      <c r="C120" s="6">
        <v>1137</v>
      </c>
      <c r="D120" s="6">
        <v>226</v>
      </c>
      <c r="E120" s="6">
        <v>81119</v>
      </c>
      <c r="F120" s="29">
        <v>7.74</v>
      </c>
      <c r="G120" s="30">
        <v>35359</v>
      </c>
    </row>
    <row r="121" spans="1:7">
      <c r="A121" s="28">
        <v>45649</v>
      </c>
      <c r="B121" s="4" t="s">
        <v>26</v>
      </c>
      <c r="C121" s="6">
        <v>1900</v>
      </c>
      <c r="D121" s="6">
        <v>311</v>
      </c>
      <c r="E121" s="6">
        <v>25177</v>
      </c>
      <c r="F121" s="29">
        <v>2.89</v>
      </c>
      <c r="G121" s="30">
        <v>14154</v>
      </c>
    </row>
    <row r="122" spans="1:7">
      <c r="A122" s="28">
        <v>45656</v>
      </c>
      <c r="B122" s="4" t="s">
        <v>30</v>
      </c>
      <c r="C122" s="6">
        <v>1814</v>
      </c>
      <c r="D122" s="6">
        <v>49</v>
      </c>
      <c r="E122" s="6">
        <v>140804</v>
      </c>
      <c r="F122" s="29">
        <v>1.76</v>
      </c>
      <c r="G122" s="30">
        <v>4313</v>
      </c>
    </row>
    <row r="123" spans="1:7">
      <c r="A123" s="28">
        <v>45656</v>
      </c>
      <c r="B123" s="4" t="s">
        <v>37</v>
      </c>
      <c r="C123" s="6">
        <v>1980</v>
      </c>
      <c r="D123" s="6">
        <v>204</v>
      </c>
      <c r="E123" s="6">
        <v>379431</v>
      </c>
      <c r="F123" s="29">
        <v>3.09</v>
      </c>
      <c r="G123" s="30">
        <v>25140</v>
      </c>
    </row>
    <row r="124" spans="1:7">
      <c r="A124" s="28">
        <v>45656</v>
      </c>
      <c r="B124" s="4" t="s">
        <v>13</v>
      </c>
      <c r="C124" s="6">
        <v>1786</v>
      </c>
      <c r="D124" s="6">
        <v>257</v>
      </c>
      <c r="E124" s="6">
        <v>274831</v>
      </c>
      <c r="F124" s="29">
        <v>4.68</v>
      </c>
      <c r="G124" s="30">
        <v>9118</v>
      </c>
    </row>
    <row r="125" spans="1:7">
      <c r="A125" s="28">
        <v>45656</v>
      </c>
      <c r="B125" s="4" t="s">
        <v>26</v>
      </c>
      <c r="C125" s="6">
        <v>1495</v>
      </c>
      <c r="D125" s="6">
        <v>35</v>
      </c>
      <c r="E125" s="6">
        <v>136845</v>
      </c>
      <c r="F125" s="29">
        <v>4.4800000000000004</v>
      </c>
      <c r="G125" s="30">
        <v>39931</v>
      </c>
    </row>
    <row r="126" spans="1:7">
      <c r="A126" s="28">
        <v>45663</v>
      </c>
      <c r="B126" s="4" t="s">
        <v>30</v>
      </c>
      <c r="C126" s="6">
        <v>1013</v>
      </c>
      <c r="D126" s="6">
        <v>110</v>
      </c>
      <c r="E126" s="6">
        <v>466382</v>
      </c>
      <c r="F126" s="29">
        <v>5.3</v>
      </c>
      <c r="G126" s="30">
        <v>37132</v>
      </c>
    </row>
    <row r="127" spans="1:7">
      <c r="A127" s="28">
        <v>45663</v>
      </c>
      <c r="B127" s="4" t="s">
        <v>37</v>
      </c>
      <c r="C127" s="6">
        <v>816</v>
      </c>
      <c r="D127" s="6">
        <v>196</v>
      </c>
      <c r="E127" s="6">
        <v>95728</v>
      </c>
      <c r="F127" s="29">
        <v>8.1999999999999993</v>
      </c>
      <c r="G127" s="30">
        <v>17951</v>
      </c>
    </row>
    <row r="128" spans="1:7">
      <c r="A128" s="28">
        <v>45663</v>
      </c>
      <c r="B128" s="4" t="s">
        <v>13</v>
      </c>
      <c r="C128" s="6">
        <v>1633</v>
      </c>
      <c r="D128" s="6">
        <v>445</v>
      </c>
      <c r="E128" s="6">
        <v>371156</v>
      </c>
      <c r="F128" s="29">
        <v>2.2200000000000002</v>
      </c>
      <c r="G128" s="30">
        <v>2798</v>
      </c>
    </row>
    <row r="129" spans="1:7">
      <c r="A129" s="28">
        <v>45663</v>
      </c>
      <c r="B129" s="4" t="s">
        <v>26</v>
      </c>
      <c r="C129" s="6">
        <v>891</v>
      </c>
      <c r="D129" s="6">
        <v>45</v>
      </c>
      <c r="E129" s="6">
        <v>95410</v>
      </c>
      <c r="F129" s="29">
        <v>8.33</v>
      </c>
      <c r="G129" s="30">
        <v>15045</v>
      </c>
    </row>
    <row r="130" spans="1:7">
      <c r="A130" s="28">
        <v>45670</v>
      </c>
      <c r="B130" s="4" t="s">
        <v>30</v>
      </c>
      <c r="C130" s="6">
        <v>1855</v>
      </c>
      <c r="D130" s="6">
        <v>133</v>
      </c>
      <c r="E130" s="6">
        <v>349413</v>
      </c>
      <c r="F130" s="29">
        <v>3.3</v>
      </c>
      <c r="G130" s="30">
        <v>14548</v>
      </c>
    </row>
    <row r="131" spans="1:7">
      <c r="A131" s="28">
        <v>45670</v>
      </c>
      <c r="B131" s="4" t="s">
        <v>37</v>
      </c>
      <c r="C131" s="6">
        <v>651</v>
      </c>
      <c r="D131" s="6">
        <v>353</v>
      </c>
      <c r="E131" s="6">
        <v>224699</v>
      </c>
      <c r="F131" s="29">
        <v>5.61</v>
      </c>
      <c r="G131" s="30">
        <v>45708</v>
      </c>
    </row>
    <row r="132" spans="1:7">
      <c r="A132" s="28">
        <v>45670</v>
      </c>
      <c r="B132" s="4" t="s">
        <v>13</v>
      </c>
      <c r="C132" s="6">
        <v>118</v>
      </c>
      <c r="D132" s="6">
        <v>262</v>
      </c>
      <c r="E132" s="6">
        <v>487896</v>
      </c>
      <c r="F132" s="29">
        <v>2.56</v>
      </c>
      <c r="G132" s="30">
        <v>12350</v>
      </c>
    </row>
    <row r="133" spans="1:7">
      <c r="A133" s="28">
        <v>45670</v>
      </c>
      <c r="B133" s="4" t="s">
        <v>26</v>
      </c>
      <c r="C133" s="6">
        <v>1331</v>
      </c>
      <c r="D133" s="6">
        <v>430</v>
      </c>
      <c r="E133" s="6">
        <v>14437</v>
      </c>
      <c r="F133" s="29">
        <v>3.29</v>
      </c>
      <c r="G133" s="30">
        <v>40868</v>
      </c>
    </row>
    <row r="134" spans="1:7">
      <c r="A134" s="28">
        <v>45677</v>
      </c>
      <c r="B134" s="4" t="s">
        <v>30</v>
      </c>
      <c r="C134" s="6">
        <v>1748</v>
      </c>
      <c r="D134" s="6">
        <v>176</v>
      </c>
      <c r="E134" s="6">
        <v>383681</v>
      </c>
      <c r="F134" s="29">
        <v>9.24</v>
      </c>
      <c r="G134" s="30">
        <v>43122</v>
      </c>
    </row>
    <row r="135" spans="1:7">
      <c r="A135" s="28">
        <v>45677</v>
      </c>
      <c r="B135" s="4" t="s">
        <v>37</v>
      </c>
      <c r="C135" s="6">
        <v>663</v>
      </c>
      <c r="D135" s="6">
        <v>236</v>
      </c>
      <c r="E135" s="6">
        <v>479490</v>
      </c>
      <c r="F135" s="29">
        <v>4.51</v>
      </c>
      <c r="G135" s="30">
        <v>23853</v>
      </c>
    </row>
    <row r="136" spans="1:7">
      <c r="A136" s="28">
        <v>45677</v>
      </c>
      <c r="B136" s="4" t="s">
        <v>13</v>
      </c>
      <c r="C136" s="6">
        <v>1040</v>
      </c>
      <c r="D136" s="6">
        <v>149</v>
      </c>
      <c r="E136" s="6">
        <v>124404</v>
      </c>
      <c r="F136" s="29">
        <v>5.23</v>
      </c>
      <c r="G136" s="30">
        <v>45380</v>
      </c>
    </row>
    <row r="137" spans="1:7">
      <c r="A137" s="28">
        <v>45677</v>
      </c>
      <c r="B137" s="4" t="s">
        <v>26</v>
      </c>
      <c r="C137" s="6">
        <v>1166</v>
      </c>
      <c r="D137" s="6">
        <v>442</v>
      </c>
      <c r="E137" s="6">
        <v>336949</v>
      </c>
      <c r="F137" s="29">
        <v>4.68</v>
      </c>
      <c r="G137" s="30">
        <v>7705</v>
      </c>
    </row>
    <row r="138" spans="1:7">
      <c r="A138" s="28">
        <v>45684</v>
      </c>
      <c r="B138" s="4" t="s">
        <v>30</v>
      </c>
      <c r="C138" s="6">
        <v>115</v>
      </c>
      <c r="D138" s="6">
        <v>281</v>
      </c>
      <c r="E138" s="6">
        <v>357265</v>
      </c>
      <c r="F138" s="29">
        <v>9.23</v>
      </c>
      <c r="G138" s="30">
        <v>25525</v>
      </c>
    </row>
    <row r="139" spans="1:7">
      <c r="A139" s="28">
        <v>45684</v>
      </c>
      <c r="B139" s="4" t="s">
        <v>37</v>
      </c>
      <c r="C139" s="6">
        <v>1249</v>
      </c>
      <c r="D139" s="6">
        <v>351</v>
      </c>
      <c r="E139" s="6">
        <v>321307</v>
      </c>
      <c r="F139" s="29">
        <v>6.37</v>
      </c>
      <c r="G139" s="30">
        <v>20560</v>
      </c>
    </row>
    <row r="140" spans="1:7">
      <c r="A140" s="28">
        <v>45684</v>
      </c>
      <c r="B140" s="4" t="s">
        <v>13</v>
      </c>
      <c r="C140" s="6">
        <v>1501</v>
      </c>
      <c r="D140" s="6">
        <v>75</v>
      </c>
      <c r="E140" s="6">
        <v>262569</v>
      </c>
      <c r="F140" s="29">
        <v>2.0099999999999998</v>
      </c>
      <c r="G140" s="30">
        <v>19119</v>
      </c>
    </row>
    <row r="141" spans="1:7">
      <c r="A141" s="28">
        <v>45684</v>
      </c>
      <c r="B141" s="4" t="s">
        <v>26</v>
      </c>
      <c r="C141" s="6">
        <v>1411</v>
      </c>
      <c r="D141" s="6">
        <v>186</v>
      </c>
      <c r="E141" s="6">
        <v>461669</v>
      </c>
      <c r="F141" s="29">
        <v>3.72</v>
      </c>
      <c r="G141" s="30">
        <v>43999</v>
      </c>
    </row>
    <row r="142" spans="1:7">
      <c r="A142" s="28">
        <v>45691</v>
      </c>
      <c r="B142" s="4" t="s">
        <v>30</v>
      </c>
      <c r="C142" s="6">
        <v>1556</v>
      </c>
      <c r="D142" s="6">
        <v>476</v>
      </c>
      <c r="E142" s="6">
        <v>351556</v>
      </c>
      <c r="F142" s="29">
        <v>3.89</v>
      </c>
      <c r="G142" s="30">
        <v>10825</v>
      </c>
    </row>
    <row r="143" spans="1:7">
      <c r="A143" s="28">
        <v>45691</v>
      </c>
      <c r="B143" s="4" t="s">
        <v>37</v>
      </c>
      <c r="C143" s="6">
        <v>1159</v>
      </c>
      <c r="D143" s="6">
        <v>411</v>
      </c>
      <c r="E143" s="6">
        <v>135987</v>
      </c>
      <c r="F143" s="29">
        <v>8.6999999999999993</v>
      </c>
      <c r="G143" s="30">
        <v>40323</v>
      </c>
    </row>
    <row r="144" spans="1:7">
      <c r="A144" s="28">
        <v>45691</v>
      </c>
      <c r="B144" s="4" t="s">
        <v>13</v>
      </c>
      <c r="C144" s="6">
        <v>927</v>
      </c>
      <c r="D144" s="6">
        <v>358</v>
      </c>
      <c r="E144" s="6">
        <v>177554</v>
      </c>
      <c r="F144" s="29">
        <v>6.95</v>
      </c>
      <c r="G144" s="30">
        <v>48270</v>
      </c>
    </row>
    <row r="145" spans="1:7">
      <c r="A145" s="28">
        <v>45691</v>
      </c>
      <c r="B145" s="4" t="s">
        <v>26</v>
      </c>
      <c r="C145" s="6">
        <v>152</v>
      </c>
      <c r="D145" s="6">
        <v>355</v>
      </c>
      <c r="E145" s="6">
        <v>270766</v>
      </c>
      <c r="F145" s="29">
        <v>9.48</v>
      </c>
      <c r="G145" s="30">
        <v>18001</v>
      </c>
    </row>
    <row r="146" spans="1:7">
      <c r="A146" s="28">
        <v>45698</v>
      </c>
      <c r="B146" s="4" t="s">
        <v>30</v>
      </c>
      <c r="C146" s="6">
        <v>1957</v>
      </c>
      <c r="D146" s="6">
        <v>234</v>
      </c>
      <c r="E146" s="6">
        <v>222126</v>
      </c>
      <c r="F146" s="29">
        <v>4.6100000000000003</v>
      </c>
      <c r="G146" s="30">
        <v>3314</v>
      </c>
    </row>
    <row r="147" spans="1:7">
      <c r="A147" s="28">
        <v>45698</v>
      </c>
      <c r="B147" s="4" t="s">
        <v>37</v>
      </c>
      <c r="C147" s="6">
        <v>1294</v>
      </c>
      <c r="D147" s="6">
        <v>382</v>
      </c>
      <c r="E147" s="6">
        <v>309914</v>
      </c>
      <c r="F147" s="29">
        <v>8.0299999999999994</v>
      </c>
      <c r="G147" s="30">
        <v>23489</v>
      </c>
    </row>
    <row r="148" spans="1:7">
      <c r="A148" s="28">
        <v>45698</v>
      </c>
      <c r="B148" s="4" t="s">
        <v>13</v>
      </c>
      <c r="C148" s="6">
        <v>1587</v>
      </c>
      <c r="D148" s="6">
        <v>385</v>
      </c>
      <c r="E148" s="6">
        <v>126582</v>
      </c>
      <c r="F148" s="29">
        <v>6.99</v>
      </c>
      <c r="G148" s="30">
        <v>42832</v>
      </c>
    </row>
    <row r="149" spans="1:7">
      <c r="A149" s="28">
        <v>45698</v>
      </c>
      <c r="B149" s="4" t="s">
        <v>26</v>
      </c>
      <c r="C149" s="6">
        <v>1707</v>
      </c>
      <c r="D149" s="6">
        <v>263</v>
      </c>
      <c r="E149" s="6">
        <v>485280</v>
      </c>
      <c r="F149" s="29">
        <v>9.0299999999999994</v>
      </c>
      <c r="G149" s="30">
        <v>24494</v>
      </c>
    </row>
    <row r="150" spans="1:7">
      <c r="A150" s="28">
        <v>45705</v>
      </c>
      <c r="B150" s="4" t="s">
        <v>30</v>
      </c>
      <c r="C150" s="6">
        <v>1138</v>
      </c>
      <c r="D150" s="6">
        <v>173</v>
      </c>
      <c r="E150" s="6">
        <v>453243</v>
      </c>
      <c r="F150" s="29">
        <v>2.86</v>
      </c>
      <c r="G150" s="30">
        <v>44097</v>
      </c>
    </row>
    <row r="151" spans="1:7">
      <c r="A151" s="28">
        <v>45705</v>
      </c>
      <c r="B151" s="4" t="s">
        <v>37</v>
      </c>
      <c r="C151" s="6">
        <v>1895</v>
      </c>
      <c r="D151" s="6">
        <v>305</v>
      </c>
      <c r="E151" s="6">
        <v>104967</v>
      </c>
      <c r="F151" s="29">
        <v>3.85</v>
      </c>
      <c r="G151" s="30">
        <v>31853</v>
      </c>
    </row>
    <row r="152" spans="1:7">
      <c r="A152" s="28">
        <v>45705</v>
      </c>
      <c r="B152" s="4" t="s">
        <v>13</v>
      </c>
      <c r="C152" s="6">
        <v>362</v>
      </c>
      <c r="D152" s="6">
        <v>399</v>
      </c>
      <c r="E152" s="6">
        <v>145608</v>
      </c>
      <c r="F152" s="29">
        <v>7.3</v>
      </c>
      <c r="G152" s="30">
        <v>37636</v>
      </c>
    </row>
    <row r="153" spans="1:7">
      <c r="A153" s="28">
        <v>45705</v>
      </c>
      <c r="B153" s="4" t="s">
        <v>26</v>
      </c>
      <c r="C153" s="6">
        <v>1662</v>
      </c>
      <c r="D153" s="6">
        <v>487</v>
      </c>
      <c r="E153" s="6">
        <v>105980</v>
      </c>
      <c r="F153" s="29">
        <v>9.08</v>
      </c>
      <c r="G153" s="30">
        <v>22996</v>
      </c>
    </row>
    <row r="154" spans="1:7">
      <c r="A154" s="28">
        <v>45712</v>
      </c>
      <c r="B154" s="4" t="s">
        <v>30</v>
      </c>
      <c r="C154" s="6">
        <v>1440</v>
      </c>
      <c r="D154" s="6">
        <v>65</v>
      </c>
      <c r="E154" s="6">
        <v>126524</v>
      </c>
      <c r="F154" s="29">
        <v>4.34</v>
      </c>
      <c r="G154" s="30">
        <v>49772</v>
      </c>
    </row>
    <row r="155" spans="1:7">
      <c r="A155" s="28">
        <v>45712</v>
      </c>
      <c r="B155" s="4" t="s">
        <v>37</v>
      </c>
      <c r="C155" s="6">
        <v>1884</v>
      </c>
      <c r="D155" s="6">
        <v>177</v>
      </c>
      <c r="E155" s="6">
        <v>230448</v>
      </c>
      <c r="F155" s="29">
        <v>7.8</v>
      </c>
      <c r="G155" s="30">
        <v>22713</v>
      </c>
    </row>
    <row r="156" spans="1:7">
      <c r="A156" s="28">
        <v>45712</v>
      </c>
      <c r="B156" s="4" t="s">
        <v>13</v>
      </c>
      <c r="C156" s="6">
        <v>861</v>
      </c>
      <c r="D156" s="6">
        <v>153</v>
      </c>
      <c r="E156" s="6">
        <v>317007</v>
      </c>
      <c r="F156" s="29">
        <v>3.85</v>
      </c>
      <c r="G156" s="30">
        <v>8718</v>
      </c>
    </row>
    <row r="157" spans="1:7">
      <c r="A157" s="28">
        <v>45712</v>
      </c>
      <c r="B157" s="4" t="s">
        <v>26</v>
      </c>
      <c r="C157" s="6">
        <v>1063</v>
      </c>
      <c r="D157" s="6">
        <v>47</v>
      </c>
      <c r="E157" s="6">
        <v>464239</v>
      </c>
      <c r="F157" s="29">
        <v>6.58</v>
      </c>
      <c r="G157" s="30">
        <v>39031</v>
      </c>
    </row>
    <row r="158" spans="1:7">
      <c r="A158" s="28">
        <v>45719</v>
      </c>
      <c r="B158" s="4" t="s">
        <v>30</v>
      </c>
      <c r="C158" s="6">
        <v>1371</v>
      </c>
      <c r="D158" s="6">
        <v>56</v>
      </c>
      <c r="E158" s="6">
        <v>257579</v>
      </c>
      <c r="F158" s="29">
        <v>8.6199999999999992</v>
      </c>
      <c r="G158" s="30">
        <v>33799</v>
      </c>
    </row>
    <row r="159" spans="1:7">
      <c r="A159" s="28">
        <v>45719</v>
      </c>
      <c r="B159" s="4" t="s">
        <v>37</v>
      </c>
      <c r="C159" s="6">
        <v>345</v>
      </c>
      <c r="D159" s="6">
        <v>464</v>
      </c>
      <c r="E159" s="6">
        <v>366881</v>
      </c>
      <c r="F159" s="29">
        <v>4.55</v>
      </c>
      <c r="G159" s="30">
        <v>20553</v>
      </c>
    </row>
    <row r="160" spans="1:7">
      <c r="A160" s="28">
        <v>45719</v>
      </c>
      <c r="B160" s="4" t="s">
        <v>13</v>
      </c>
      <c r="C160" s="6">
        <v>946</v>
      </c>
      <c r="D160" s="6">
        <v>47</v>
      </c>
      <c r="E160" s="6">
        <v>466575</v>
      </c>
      <c r="F160" s="29">
        <v>8.33</v>
      </c>
      <c r="G160" s="30">
        <v>10002</v>
      </c>
    </row>
    <row r="161" spans="1:7">
      <c r="A161" s="28">
        <v>45719</v>
      </c>
      <c r="B161" s="4" t="s">
        <v>26</v>
      </c>
      <c r="C161" s="6">
        <v>510</v>
      </c>
      <c r="D161" s="6">
        <v>195</v>
      </c>
      <c r="E161" s="6">
        <v>224534</v>
      </c>
      <c r="F161" s="29">
        <v>9.4</v>
      </c>
      <c r="G161" s="30">
        <v>30987</v>
      </c>
    </row>
    <row r="162" spans="1:7">
      <c r="A162" s="28">
        <v>45726</v>
      </c>
      <c r="B162" s="4" t="s">
        <v>30</v>
      </c>
      <c r="C162" s="6">
        <v>393</v>
      </c>
      <c r="D162" s="6">
        <v>181</v>
      </c>
      <c r="E162" s="6">
        <v>462142</v>
      </c>
      <c r="F162" s="29">
        <v>7.23</v>
      </c>
      <c r="G162" s="30">
        <v>6296</v>
      </c>
    </row>
    <row r="163" spans="1:7">
      <c r="A163" s="28">
        <v>45726</v>
      </c>
      <c r="B163" s="4" t="s">
        <v>37</v>
      </c>
      <c r="C163" s="6">
        <v>1098</v>
      </c>
      <c r="D163" s="6">
        <v>190</v>
      </c>
      <c r="E163" s="6">
        <v>340842</v>
      </c>
      <c r="F163" s="29">
        <v>9.39</v>
      </c>
      <c r="G163" s="30">
        <v>21539</v>
      </c>
    </row>
    <row r="164" spans="1:7">
      <c r="A164" s="28">
        <v>45726</v>
      </c>
      <c r="B164" s="4" t="s">
        <v>13</v>
      </c>
      <c r="C164" s="6">
        <v>1399</v>
      </c>
      <c r="D164" s="6">
        <v>49</v>
      </c>
      <c r="E164" s="6">
        <v>12471</v>
      </c>
      <c r="F164" s="29">
        <v>5.12</v>
      </c>
      <c r="G164" s="30">
        <v>14722</v>
      </c>
    </row>
    <row r="165" spans="1:7">
      <c r="A165" s="28">
        <v>45726</v>
      </c>
      <c r="B165" s="4" t="s">
        <v>26</v>
      </c>
      <c r="C165" s="6">
        <v>1658</v>
      </c>
      <c r="D165" s="6">
        <v>416</v>
      </c>
      <c r="E165" s="6">
        <v>98397</v>
      </c>
      <c r="F165" s="29">
        <v>6.11</v>
      </c>
      <c r="G165" s="30">
        <v>11383</v>
      </c>
    </row>
    <row r="166" spans="1:7">
      <c r="A166" s="28">
        <v>45733</v>
      </c>
      <c r="B166" s="4" t="s">
        <v>30</v>
      </c>
      <c r="C166" s="6">
        <v>1102</v>
      </c>
      <c r="D166" s="6">
        <v>422</v>
      </c>
      <c r="E166" s="6">
        <v>410330</v>
      </c>
      <c r="F166" s="29">
        <v>7.74</v>
      </c>
      <c r="G166" s="30">
        <v>9480</v>
      </c>
    </row>
    <row r="167" spans="1:7">
      <c r="A167" s="28">
        <v>45733</v>
      </c>
      <c r="B167" s="4" t="s">
        <v>37</v>
      </c>
      <c r="C167" s="6">
        <v>1358</v>
      </c>
      <c r="D167" s="6">
        <v>242</v>
      </c>
      <c r="E167" s="6">
        <v>342129</v>
      </c>
      <c r="F167" s="29">
        <v>4.9400000000000004</v>
      </c>
      <c r="G167" s="30">
        <v>29116</v>
      </c>
    </row>
    <row r="168" spans="1:7">
      <c r="A168" s="28">
        <v>45733</v>
      </c>
      <c r="B168" s="4" t="s">
        <v>13</v>
      </c>
      <c r="C168" s="6">
        <v>1077</v>
      </c>
      <c r="D168" s="6">
        <v>216</v>
      </c>
      <c r="E168" s="6">
        <v>12447</v>
      </c>
      <c r="F168" s="29">
        <v>1.8</v>
      </c>
      <c r="G168" s="30">
        <v>14068</v>
      </c>
    </row>
    <row r="169" spans="1:7">
      <c r="A169" s="28">
        <v>45733</v>
      </c>
      <c r="B169" s="4" t="s">
        <v>26</v>
      </c>
      <c r="C169" s="6">
        <v>1596</v>
      </c>
      <c r="D169" s="6">
        <v>211</v>
      </c>
      <c r="E169" s="6">
        <v>17380</v>
      </c>
      <c r="F169" s="29">
        <v>8.64</v>
      </c>
      <c r="G169" s="30">
        <v>35801</v>
      </c>
    </row>
    <row r="170" spans="1:7">
      <c r="A170" s="28">
        <v>45740</v>
      </c>
      <c r="B170" s="4" t="s">
        <v>30</v>
      </c>
      <c r="C170" s="6">
        <v>490</v>
      </c>
      <c r="D170" s="6">
        <v>29</v>
      </c>
      <c r="E170" s="6">
        <v>364810</v>
      </c>
      <c r="F170" s="29">
        <v>1.53</v>
      </c>
      <c r="G170" s="30">
        <v>49077</v>
      </c>
    </row>
    <row r="171" spans="1:7">
      <c r="A171" s="28">
        <v>45740</v>
      </c>
      <c r="B171" s="4" t="s">
        <v>37</v>
      </c>
      <c r="C171" s="6">
        <v>609</v>
      </c>
      <c r="D171" s="6">
        <v>135</v>
      </c>
      <c r="E171" s="6">
        <v>373606</v>
      </c>
      <c r="F171" s="29">
        <v>8.52</v>
      </c>
      <c r="G171" s="30">
        <v>21453</v>
      </c>
    </row>
    <row r="172" spans="1:7">
      <c r="A172" s="28">
        <v>45740</v>
      </c>
      <c r="B172" s="4" t="s">
        <v>13</v>
      </c>
      <c r="C172" s="6">
        <v>364</v>
      </c>
      <c r="D172" s="6">
        <v>72</v>
      </c>
      <c r="E172" s="6">
        <v>211090</v>
      </c>
      <c r="F172" s="29">
        <v>5.53</v>
      </c>
      <c r="G172" s="30">
        <v>21061</v>
      </c>
    </row>
    <row r="173" spans="1:7">
      <c r="A173" s="28">
        <v>45740</v>
      </c>
      <c r="B173" s="4" t="s">
        <v>26</v>
      </c>
      <c r="C173" s="6">
        <v>442</v>
      </c>
      <c r="D173" s="6">
        <v>53</v>
      </c>
      <c r="E173" s="6">
        <v>441931</v>
      </c>
      <c r="F173" s="29">
        <v>1.87</v>
      </c>
      <c r="G173" s="30">
        <v>20059</v>
      </c>
    </row>
    <row r="174" spans="1:7">
      <c r="A174" s="28">
        <v>45747</v>
      </c>
      <c r="B174" s="4" t="s">
        <v>30</v>
      </c>
      <c r="C174" s="6">
        <v>1033</v>
      </c>
      <c r="D174" s="6">
        <v>392</v>
      </c>
      <c r="E174" s="6">
        <v>282780</v>
      </c>
      <c r="F174" s="29">
        <v>6.27</v>
      </c>
      <c r="G174" s="30">
        <v>23140</v>
      </c>
    </row>
    <row r="175" spans="1:7">
      <c r="A175" s="28">
        <v>45747</v>
      </c>
      <c r="B175" s="4" t="s">
        <v>37</v>
      </c>
      <c r="C175" s="6">
        <v>988</v>
      </c>
      <c r="D175" s="6">
        <v>474</v>
      </c>
      <c r="E175" s="6">
        <v>370070</v>
      </c>
      <c r="F175" s="29">
        <v>9.4600000000000009</v>
      </c>
      <c r="G175" s="30">
        <v>23461</v>
      </c>
    </row>
    <row r="176" spans="1:7">
      <c r="A176" s="28">
        <v>45747</v>
      </c>
      <c r="B176" s="4" t="s">
        <v>13</v>
      </c>
      <c r="C176" s="6">
        <v>1946</v>
      </c>
      <c r="D176" s="6">
        <v>270</v>
      </c>
      <c r="E176" s="6">
        <v>198350</v>
      </c>
      <c r="F176" s="29">
        <v>7.5</v>
      </c>
      <c r="G176" s="30">
        <v>11805</v>
      </c>
    </row>
    <row r="177" spans="1:7">
      <c r="A177" s="28">
        <v>45747</v>
      </c>
      <c r="B177" s="4" t="s">
        <v>26</v>
      </c>
      <c r="C177" s="6">
        <v>1957</v>
      </c>
      <c r="D177" s="6">
        <v>490</v>
      </c>
      <c r="E177" s="6">
        <v>435726</v>
      </c>
      <c r="F177" s="29">
        <v>4.7300000000000004</v>
      </c>
      <c r="G177" s="30">
        <v>15969</v>
      </c>
    </row>
    <row r="178" spans="1:7">
      <c r="A178" s="28">
        <v>45754</v>
      </c>
      <c r="B178" s="4" t="s">
        <v>30</v>
      </c>
      <c r="C178" s="6">
        <v>559</v>
      </c>
      <c r="D178" s="6">
        <v>392</v>
      </c>
      <c r="E178" s="6">
        <v>78789</v>
      </c>
      <c r="F178" s="29">
        <v>3.19</v>
      </c>
      <c r="G178" s="30">
        <v>2436</v>
      </c>
    </row>
    <row r="179" spans="1:7">
      <c r="A179" s="28">
        <v>45754</v>
      </c>
      <c r="B179" s="4" t="s">
        <v>37</v>
      </c>
      <c r="C179" s="6">
        <v>1307</v>
      </c>
      <c r="D179" s="6">
        <v>278</v>
      </c>
      <c r="E179" s="6">
        <v>98596</v>
      </c>
      <c r="F179" s="29">
        <v>2.4900000000000002</v>
      </c>
      <c r="G179" s="30">
        <v>47603</v>
      </c>
    </row>
    <row r="180" spans="1:7">
      <c r="A180" s="28">
        <v>45754</v>
      </c>
      <c r="B180" s="4" t="s">
        <v>13</v>
      </c>
      <c r="C180" s="6">
        <v>1432</v>
      </c>
      <c r="D180" s="6">
        <v>425</v>
      </c>
      <c r="E180" s="6">
        <v>29589</v>
      </c>
      <c r="F180" s="29">
        <v>4.5</v>
      </c>
      <c r="G180" s="30">
        <v>42964</v>
      </c>
    </row>
    <row r="181" spans="1:7">
      <c r="A181" s="28">
        <v>45754</v>
      </c>
      <c r="B181" s="4" t="s">
        <v>26</v>
      </c>
      <c r="C181" s="6">
        <v>623</v>
      </c>
      <c r="D181" s="6">
        <v>414</v>
      </c>
      <c r="E181" s="6">
        <v>290354</v>
      </c>
      <c r="F181" s="29">
        <v>6.49</v>
      </c>
      <c r="G181" s="30">
        <v>39923</v>
      </c>
    </row>
    <row r="182" spans="1:7">
      <c r="A182" s="28">
        <v>45761</v>
      </c>
      <c r="B182" s="4" t="s">
        <v>30</v>
      </c>
      <c r="C182" s="6">
        <v>198</v>
      </c>
      <c r="D182" s="6">
        <v>358</v>
      </c>
      <c r="E182" s="6">
        <v>66682</v>
      </c>
      <c r="F182" s="29">
        <v>6.73</v>
      </c>
      <c r="G182" s="30">
        <v>2293</v>
      </c>
    </row>
    <row r="183" spans="1:7">
      <c r="A183" s="28">
        <v>45761</v>
      </c>
      <c r="B183" s="4" t="s">
        <v>37</v>
      </c>
      <c r="C183" s="6">
        <v>198</v>
      </c>
      <c r="D183" s="6">
        <v>373</v>
      </c>
      <c r="E183" s="6">
        <v>70707</v>
      </c>
      <c r="F183" s="29">
        <v>4.83</v>
      </c>
      <c r="G183" s="30">
        <v>25920</v>
      </c>
    </row>
    <row r="184" spans="1:7">
      <c r="A184" s="28">
        <v>45761</v>
      </c>
      <c r="B184" s="4" t="s">
        <v>13</v>
      </c>
      <c r="C184" s="6">
        <v>353</v>
      </c>
      <c r="D184" s="6">
        <v>300</v>
      </c>
      <c r="E184" s="6">
        <v>142507</v>
      </c>
      <c r="F184" s="29">
        <v>5.3</v>
      </c>
      <c r="G184" s="30">
        <v>11035</v>
      </c>
    </row>
    <row r="185" spans="1:7">
      <c r="A185" s="28">
        <v>45761</v>
      </c>
      <c r="B185" s="4" t="s">
        <v>26</v>
      </c>
      <c r="C185" s="6">
        <v>520</v>
      </c>
      <c r="D185" s="6">
        <v>375</v>
      </c>
      <c r="E185" s="6">
        <v>369525</v>
      </c>
      <c r="F185" s="29">
        <v>6.54</v>
      </c>
      <c r="G185" s="30">
        <v>20733</v>
      </c>
    </row>
    <row r="186" spans="1:7">
      <c r="A186" s="28">
        <v>45768</v>
      </c>
      <c r="B186" s="4" t="s">
        <v>30</v>
      </c>
      <c r="C186" s="6">
        <v>961</v>
      </c>
      <c r="D186" s="6">
        <v>358</v>
      </c>
      <c r="E186" s="6">
        <v>62942</v>
      </c>
      <c r="F186" s="29">
        <v>6.8</v>
      </c>
      <c r="G186" s="30">
        <v>18693</v>
      </c>
    </row>
    <row r="187" spans="1:7">
      <c r="A187" s="28">
        <v>45768</v>
      </c>
      <c r="B187" s="4" t="s">
        <v>37</v>
      </c>
      <c r="C187" s="6">
        <v>1375</v>
      </c>
      <c r="D187" s="6">
        <v>330</v>
      </c>
      <c r="E187" s="6">
        <v>377382</v>
      </c>
      <c r="F187" s="29">
        <v>2.6</v>
      </c>
      <c r="G187" s="30">
        <v>7875</v>
      </c>
    </row>
    <row r="188" spans="1:7">
      <c r="A188" s="28">
        <v>45768</v>
      </c>
      <c r="B188" s="4" t="s">
        <v>13</v>
      </c>
      <c r="C188" s="6">
        <v>1147</v>
      </c>
      <c r="D188" s="6">
        <v>388</v>
      </c>
      <c r="E188" s="6">
        <v>333851</v>
      </c>
      <c r="F188" s="29">
        <v>2.44</v>
      </c>
      <c r="G188" s="30">
        <v>8471</v>
      </c>
    </row>
    <row r="189" spans="1:7">
      <c r="A189" s="28">
        <v>45768</v>
      </c>
      <c r="B189" s="4" t="s">
        <v>26</v>
      </c>
      <c r="C189" s="6">
        <v>1707</v>
      </c>
      <c r="D189" s="6">
        <v>74</v>
      </c>
      <c r="E189" s="6">
        <v>270958</v>
      </c>
      <c r="F189" s="29">
        <v>3.09</v>
      </c>
      <c r="G189" s="30">
        <v>14090</v>
      </c>
    </row>
    <row r="190" spans="1:7">
      <c r="A190" s="28">
        <v>45775</v>
      </c>
      <c r="B190" s="4" t="s">
        <v>30</v>
      </c>
      <c r="C190" s="6">
        <v>1693</v>
      </c>
      <c r="D190" s="6">
        <v>154</v>
      </c>
      <c r="E190" s="6">
        <v>445944</v>
      </c>
      <c r="F190" s="29">
        <v>5.69</v>
      </c>
      <c r="G190" s="30">
        <v>14216</v>
      </c>
    </row>
    <row r="191" spans="1:7">
      <c r="A191" s="28">
        <v>45775</v>
      </c>
      <c r="B191" s="4" t="s">
        <v>37</v>
      </c>
      <c r="C191" s="6">
        <v>833</v>
      </c>
      <c r="D191" s="6">
        <v>380</v>
      </c>
      <c r="E191" s="6">
        <v>224830</v>
      </c>
      <c r="F191" s="29">
        <v>3.86</v>
      </c>
      <c r="G191" s="30">
        <v>3582</v>
      </c>
    </row>
    <row r="192" spans="1:7">
      <c r="A192" s="28">
        <v>45775</v>
      </c>
      <c r="B192" s="4" t="s">
        <v>13</v>
      </c>
      <c r="C192" s="6">
        <v>1222</v>
      </c>
      <c r="D192" s="6">
        <v>274</v>
      </c>
      <c r="E192" s="6">
        <v>487289</v>
      </c>
      <c r="F192" s="29">
        <v>3.16</v>
      </c>
      <c r="G192" s="30">
        <v>32500</v>
      </c>
    </row>
    <row r="193" spans="1:7">
      <c r="A193" s="28">
        <v>45775</v>
      </c>
      <c r="B193" s="4" t="s">
        <v>26</v>
      </c>
      <c r="C193" s="6">
        <v>777</v>
      </c>
      <c r="D193" s="6">
        <v>140</v>
      </c>
      <c r="E193" s="6">
        <v>11435</v>
      </c>
      <c r="F193" s="29">
        <v>1.6</v>
      </c>
      <c r="G193" s="30">
        <v>6832</v>
      </c>
    </row>
    <row r="194" spans="1:7">
      <c r="A194" s="28">
        <v>45782</v>
      </c>
      <c r="B194" s="4" t="s">
        <v>30</v>
      </c>
      <c r="C194" s="6">
        <v>1957</v>
      </c>
      <c r="D194" s="6">
        <v>76</v>
      </c>
      <c r="E194" s="6">
        <v>447902</v>
      </c>
      <c r="F194" s="29">
        <v>6.09</v>
      </c>
      <c r="G194" s="30">
        <v>33381</v>
      </c>
    </row>
    <row r="195" spans="1:7">
      <c r="A195" s="28">
        <v>45782</v>
      </c>
      <c r="B195" s="4" t="s">
        <v>37</v>
      </c>
      <c r="C195" s="6">
        <v>405</v>
      </c>
      <c r="D195" s="6">
        <v>66</v>
      </c>
      <c r="E195" s="6">
        <v>418696</v>
      </c>
      <c r="F195" s="29">
        <v>5.59</v>
      </c>
      <c r="G195" s="30">
        <v>48419</v>
      </c>
    </row>
    <row r="196" spans="1:7">
      <c r="A196" s="28">
        <v>45782</v>
      </c>
      <c r="B196" s="4" t="s">
        <v>13</v>
      </c>
      <c r="C196" s="6">
        <v>1581</v>
      </c>
      <c r="D196" s="6">
        <v>71</v>
      </c>
      <c r="E196" s="6">
        <v>484364</v>
      </c>
      <c r="F196" s="29">
        <v>3.55</v>
      </c>
      <c r="G196" s="30">
        <v>16149</v>
      </c>
    </row>
    <row r="197" spans="1:7">
      <c r="A197" s="28">
        <v>45782</v>
      </c>
      <c r="B197" s="4" t="s">
        <v>26</v>
      </c>
      <c r="C197" s="6">
        <v>1035</v>
      </c>
      <c r="D197" s="6">
        <v>171</v>
      </c>
      <c r="E197" s="6">
        <v>148477</v>
      </c>
      <c r="F197" s="29">
        <v>5.21</v>
      </c>
      <c r="G197" s="30">
        <v>7541</v>
      </c>
    </row>
    <row r="198" spans="1:7">
      <c r="A198" s="28">
        <v>45789</v>
      </c>
      <c r="B198" s="4" t="s">
        <v>30</v>
      </c>
      <c r="C198" s="6">
        <v>1765</v>
      </c>
      <c r="D198" s="6">
        <v>109</v>
      </c>
      <c r="E198" s="6">
        <v>468301</v>
      </c>
      <c r="F198" s="29">
        <v>1.82</v>
      </c>
      <c r="G198" s="30">
        <v>20042</v>
      </c>
    </row>
    <row r="199" spans="1:7">
      <c r="A199" s="28">
        <v>45789</v>
      </c>
      <c r="B199" s="4" t="s">
        <v>37</v>
      </c>
      <c r="C199" s="6">
        <v>837</v>
      </c>
      <c r="D199" s="6">
        <v>430</v>
      </c>
      <c r="E199" s="6">
        <v>364820</v>
      </c>
      <c r="F199" s="29">
        <v>4</v>
      </c>
      <c r="G199" s="30">
        <v>49400</v>
      </c>
    </row>
    <row r="200" spans="1:7">
      <c r="A200" s="28">
        <v>45789</v>
      </c>
      <c r="B200" s="4" t="s">
        <v>13</v>
      </c>
      <c r="C200" s="6">
        <v>337</v>
      </c>
      <c r="D200" s="6">
        <v>68</v>
      </c>
      <c r="E200" s="6">
        <v>456298</v>
      </c>
      <c r="F200" s="29">
        <v>7.57</v>
      </c>
      <c r="G200" s="30">
        <v>4007</v>
      </c>
    </row>
    <row r="201" spans="1:7">
      <c r="A201" s="28">
        <v>45789</v>
      </c>
      <c r="B201" s="4" t="s">
        <v>26</v>
      </c>
      <c r="C201" s="6">
        <v>119</v>
      </c>
      <c r="D201" s="6">
        <v>456</v>
      </c>
      <c r="E201" s="6">
        <v>82558</v>
      </c>
      <c r="F201" s="29">
        <v>6.81</v>
      </c>
      <c r="G201" s="30">
        <v>12174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F16F-0099-CC46-9D34-DA64C7654696}">
  <dimension ref="A1:F5"/>
  <sheetViews>
    <sheetView workbookViewId="0">
      <selection sqref="A1:A1048576"/>
    </sheetView>
  </sheetViews>
  <sheetFormatPr baseColWidth="10" defaultRowHeight="16"/>
  <cols>
    <col min="2" max="2" width="28.33203125" customWidth="1"/>
    <col min="3" max="3" width="21.33203125" customWidth="1"/>
    <col min="4" max="4" width="17" customWidth="1"/>
    <col min="5" max="5" width="26" style="19" customWidth="1"/>
    <col min="6" max="6" width="20.5" customWidth="1"/>
  </cols>
  <sheetData>
    <row r="1" spans="1:6">
      <c r="A1" s="8" t="s">
        <v>356</v>
      </c>
      <c r="B1" s="8" t="s">
        <v>357</v>
      </c>
      <c r="C1" s="9" t="s">
        <v>358</v>
      </c>
      <c r="D1" s="8" t="s">
        <v>359</v>
      </c>
      <c r="E1" s="20" t="s">
        <v>369</v>
      </c>
      <c r="F1" s="8" t="s">
        <v>360</v>
      </c>
    </row>
    <row r="2" spans="1:6">
      <c r="A2" s="10">
        <v>45488</v>
      </c>
      <c r="B2" s="11" t="s">
        <v>361</v>
      </c>
      <c r="C2" s="12">
        <v>150000</v>
      </c>
      <c r="D2" s="11" t="s">
        <v>362</v>
      </c>
      <c r="E2" s="21" t="s">
        <v>33</v>
      </c>
      <c r="F2" s="13" t="s">
        <v>22</v>
      </c>
    </row>
    <row r="3" spans="1:6">
      <c r="A3" s="10">
        <v>45596</v>
      </c>
      <c r="B3" s="11" t="s">
        <v>363</v>
      </c>
      <c r="C3" s="12">
        <v>200000</v>
      </c>
      <c r="D3" s="11" t="s">
        <v>364</v>
      </c>
      <c r="E3" s="21" t="s">
        <v>17</v>
      </c>
      <c r="F3" s="13"/>
    </row>
    <row r="4" spans="1:6">
      <c r="A4" s="10">
        <v>45667</v>
      </c>
      <c r="B4" s="11" t="s">
        <v>365</v>
      </c>
      <c r="C4" s="12">
        <v>250000</v>
      </c>
      <c r="D4" s="11" t="s">
        <v>366</v>
      </c>
      <c r="E4" s="21" t="s">
        <v>195</v>
      </c>
      <c r="F4" s="13"/>
    </row>
    <row r="5" spans="1:6">
      <c r="A5" s="10">
        <v>45747</v>
      </c>
      <c r="B5" s="11" t="s">
        <v>367</v>
      </c>
      <c r="C5" s="12">
        <v>180000</v>
      </c>
      <c r="D5" s="11" t="s">
        <v>368</v>
      </c>
      <c r="E5" s="21" t="s">
        <v>23</v>
      </c>
      <c r="F5" s="1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4BA-BC72-EB42-9041-4B74FB133332}">
  <dimension ref="A3:B12"/>
  <sheetViews>
    <sheetView workbookViewId="0">
      <selection activeCell="A12" sqref="A12"/>
    </sheetView>
  </sheetViews>
  <sheetFormatPr baseColWidth="10" defaultRowHeight="16"/>
  <cols>
    <col min="1" max="1" width="16.6640625" bestFit="1" customWidth="1"/>
    <col min="2" max="2" width="13.1640625" bestFit="1" customWidth="1"/>
  </cols>
  <sheetData>
    <row r="3" spans="1:2">
      <c r="A3" s="31" t="s">
        <v>376</v>
      </c>
      <c r="B3" t="s">
        <v>396</v>
      </c>
    </row>
    <row r="4" spans="1:2">
      <c r="A4" s="32" t="s">
        <v>18</v>
      </c>
      <c r="B4" s="19">
        <v>2.3996233100233102E-2</v>
      </c>
    </row>
    <row r="5" spans="1:2">
      <c r="A5" s="32" t="s">
        <v>28</v>
      </c>
      <c r="B5" s="19">
        <v>2.1297118022328546E-2</v>
      </c>
    </row>
    <row r="6" spans="1:2">
      <c r="A6" s="32" t="s">
        <v>24</v>
      </c>
      <c r="B6" s="19">
        <v>2.1455609668109669E-2</v>
      </c>
    </row>
    <row r="7" spans="1:2">
      <c r="A7" s="32" t="s">
        <v>34</v>
      </c>
      <c r="B7" s="19">
        <v>2.361178509585652E-2</v>
      </c>
    </row>
    <row r="8" spans="1:2">
      <c r="A8" s="32" t="s">
        <v>377</v>
      </c>
      <c r="B8" s="19">
        <v>1.9235728715728713E-2</v>
      </c>
    </row>
    <row r="9" spans="1:2">
      <c r="A9" s="32" t="s">
        <v>378</v>
      </c>
      <c r="B9" s="19">
        <v>2.2117681046922431E-2</v>
      </c>
    </row>
    <row r="12" spans="1:2" ht="19">
      <c r="A12" s="34" t="s">
        <v>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4BC4-AAB7-084E-AB1F-B91C974F1D7F}">
  <dimension ref="A3:H13"/>
  <sheetViews>
    <sheetView workbookViewId="0">
      <selection activeCell="A13" sqref="A13"/>
    </sheetView>
  </sheetViews>
  <sheetFormatPr baseColWidth="10" defaultRowHeight="16"/>
  <cols>
    <col min="1" max="2" width="16.6640625" bestFit="1" customWidth="1"/>
  </cols>
  <sheetData>
    <row r="3" spans="1:8">
      <c r="A3" s="38" t="s">
        <v>376</v>
      </c>
      <c r="B3" s="7" t="s">
        <v>388</v>
      </c>
    </row>
    <row r="4" spans="1:8">
      <c r="A4" s="7" t="s">
        <v>18</v>
      </c>
      <c r="B4" s="39">
        <v>0.12925933904631148</v>
      </c>
    </row>
    <row r="5" spans="1:8">
      <c r="A5" s="7" t="s">
        <v>28</v>
      </c>
      <c r="B5" s="39">
        <v>0.14399918848283899</v>
      </c>
    </row>
    <row r="6" spans="1:8">
      <c r="A6" s="7" t="s">
        <v>24</v>
      </c>
      <c r="B6" s="39">
        <v>0.14125279041043612</v>
      </c>
    </row>
    <row r="7" spans="1:8">
      <c r="A7" s="7" t="s">
        <v>34</v>
      </c>
      <c r="B7" s="39">
        <v>0.15203855581054104</v>
      </c>
    </row>
    <row r="8" spans="1:8">
      <c r="A8" s="7" t="s">
        <v>377</v>
      </c>
      <c r="B8" s="39">
        <v>0.1722325755469942</v>
      </c>
    </row>
    <row r="9" spans="1:8">
      <c r="A9" s="7" t="s">
        <v>378</v>
      </c>
      <c r="B9" s="39">
        <v>0.14828272479852853</v>
      </c>
    </row>
    <row r="12" spans="1:8" ht="18">
      <c r="A12" s="35"/>
    </row>
    <row r="13" spans="1:8">
      <c r="A13" s="36" t="s">
        <v>389</v>
      </c>
      <c r="B13" s="37"/>
      <c r="C13" s="37"/>
      <c r="D13" s="37"/>
      <c r="E13" s="37"/>
      <c r="F13" s="37"/>
      <c r="G13" s="37"/>
      <c r="H13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D9D2-53EB-7347-AB36-C69F35897B0E}">
  <dimension ref="A3:G9"/>
  <sheetViews>
    <sheetView workbookViewId="0">
      <selection activeCell="C22" sqref="C22"/>
    </sheetView>
  </sheetViews>
  <sheetFormatPr baseColWidth="10" defaultRowHeight="16"/>
  <cols>
    <col min="1" max="1" width="16.6640625" bestFit="1" customWidth="1"/>
    <col min="2" max="2" width="17.6640625" bestFit="1" customWidth="1"/>
    <col min="3" max="3" width="21.83203125" bestFit="1" customWidth="1"/>
    <col min="4" max="4" width="11.6640625" bestFit="1" customWidth="1"/>
    <col min="5" max="5" width="15.6640625" bestFit="1" customWidth="1"/>
    <col min="6" max="6" width="12.5" bestFit="1" customWidth="1"/>
    <col min="7" max="7" width="16.6640625" bestFit="1" customWidth="1"/>
  </cols>
  <sheetData>
    <row r="3" spans="1:7">
      <c r="A3" s="31" t="s">
        <v>376</v>
      </c>
      <c r="B3" t="s">
        <v>379</v>
      </c>
      <c r="C3" t="s">
        <v>382</v>
      </c>
      <c r="D3" t="s">
        <v>380</v>
      </c>
      <c r="E3" t="s">
        <v>383</v>
      </c>
      <c r="F3" t="s">
        <v>381</v>
      </c>
      <c r="G3" t="s">
        <v>384</v>
      </c>
    </row>
    <row r="4" spans="1:7">
      <c r="A4" s="32" t="s">
        <v>18</v>
      </c>
      <c r="B4" s="33">
        <v>1846272</v>
      </c>
      <c r="C4" s="33">
        <v>38464</v>
      </c>
      <c r="D4" s="33">
        <v>138793</v>
      </c>
      <c r="E4" s="33">
        <v>2891.5208333333335</v>
      </c>
      <c r="F4" s="33">
        <v>6434</v>
      </c>
      <c r="G4" s="33">
        <v>134.04166666666666</v>
      </c>
    </row>
    <row r="5" spans="1:7">
      <c r="A5" s="32" t="s">
        <v>28</v>
      </c>
      <c r="B5" s="33">
        <v>2266053</v>
      </c>
      <c r="C5" s="33">
        <v>33821.686567164179</v>
      </c>
      <c r="D5" s="33">
        <v>183346</v>
      </c>
      <c r="E5" s="33">
        <v>2736.5074626865671</v>
      </c>
      <c r="F5" s="33">
        <v>10032</v>
      </c>
      <c r="G5" s="33">
        <v>149.73134328358208</v>
      </c>
    </row>
    <row r="6" spans="1:7">
      <c r="A6" s="32" t="s">
        <v>24</v>
      </c>
      <c r="B6" s="33">
        <v>1986356</v>
      </c>
      <c r="C6" s="33">
        <v>34247.517241379312</v>
      </c>
      <c r="D6" s="33">
        <v>159783</v>
      </c>
      <c r="E6" s="33">
        <v>2754.8793103448274</v>
      </c>
      <c r="F6" s="33">
        <v>9872</v>
      </c>
      <c r="G6" s="33">
        <v>170.20689655172413</v>
      </c>
    </row>
    <row r="7" spans="1:7">
      <c r="A7" s="32" t="s">
        <v>34</v>
      </c>
      <c r="B7" s="33">
        <v>2464864</v>
      </c>
      <c r="C7" s="33">
        <v>34716.394366197186</v>
      </c>
      <c r="D7" s="33">
        <v>187909</v>
      </c>
      <c r="E7" s="33">
        <v>2646.605633802817</v>
      </c>
      <c r="F7" s="33">
        <v>10689</v>
      </c>
      <c r="G7" s="33">
        <v>150.54929577464787</v>
      </c>
    </row>
    <row r="8" spans="1:7">
      <c r="A8" s="32" t="s">
        <v>377</v>
      </c>
      <c r="B8" s="33">
        <v>1830608</v>
      </c>
      <c r="C8" s="33">
        <v>32689.428571428572</v>
      </c>
      <c r="D8" s="33">
        <v>150160</v>
      </c>
      <c r="E8" s="33">
        <v>2681.4285714285716</v>
      </c>
      <c r="F8" s="33">
        <v>8339</v>
      </c>
      <c r="G8" s="33">
        <v>148.91071428571428</v>
      </c>
    </row>
    <row r="9" spans="1:7">
      <c r="A9" s="32" t="s">
        <v>378</v>
      </c>
      <c r="B9" s="33">
        <v>10394153</v>
      </c>
      <c r="C9" s="33">
        <v>34647.176666666666</v>
      </c>
      <c r="D9" s="33">
        <v>819991</v>
      </c>
      <c r="E9" s="33">
        <v>2733.3033333333333</v>
      </c>
      <c r="F9" s="33">
        <v>45366</v>
      </c>
      <c r="G9" s="33">
        <v>151.22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 Engagement Lift</vt:lpstr>
      <vt:lpstr>Engagement</vt:lpstr>
      <vt:lpstr>Campaign</vt:lpstr>
      <vt:lpstr>ROI</vt:lpstr>
      <vt:lpstr>Growth</vt:lpstr>
      <vt:lpstr>Per Compaign 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manamdhanya91@gmail.com</dc:creator>
  <cp:lastModifiedBy>manamdhanya91@gmail.com</cp:lastModifiedBy>
  <dcterms:created xsi:type="dcterms:W3CDTF">2025-10-15T14:12:00Z</dcterms:created>
  <dcterms:modified xsi:type="dcterms:W3CDTF">2025-10-15T15:51:50Z</dcterms:modified>
</cp:coreProperties>
</file>